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ident_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<sst xmlns="http://schemas.openxmlformats.org/spreadsheetml/2006/main" count="854" uniqueCount="160">
  <si>
    <t xml:space="preserve">Accident ID</t>
  </si>
  <si>
    <t xml:space="preserve">Date</t>
  </si>
  <si>
    <t xml:space="preserve">Location</t>
  </si>
  <si>
    <t xml:space="preserve">Accident Type</t>
  </si>
  <si>
    <t xml:space="preserve">Vehicle Type</t>
  </si>
  <si>
    <t xml:space="preserve">Weather Condition</t>
  </si>
  <si>
    <t xml:space="preserve">Road Condition</t>
  </si>
  <si>
    <t xml:space="preserve">Severity</t>
  </si>
  <si>
    <t xml:space="preserve">Cause</t>
  </si>
  <si>
    <t xml:space="preserve">Casualties</t>
  </si>
  <si>
    <t xml:space="preserve">AID0001</t>
  </si>
  <si>
    <t xml:space="preserve">Hyderabad</t>
  </si>
  <si>
    <t xml:space="preserve">Overturn</t>
  </si>
  <si>
    <t xml:space="preserve">Auto-Rickshaw</t>
  </si>
  <si>
    <t xml:space="preserve">Clear</t>
  </si>
  <si>
    <t xml:space="preserve">Dry</t>
  </si>
  <si>
    <t xml:space="preserve">Moderate</t>
  </si>
  <si>
    <t xml:space="preserve">Overtaking</t>
  </si>
  <si>
    <t xml:space="preserve">AID0002</t>
  </si>
  <si>
    <t xml:space="preserve">Mumbai</t>
  </si>
  <si>
    <t xml:space="preserve">Foggy</t>
  </si>
  <si>
    <t xml:space="preserve">Damaged</t>
  </si>
  <si>
    <t xml:space="preserve">Distracted Driving</t>
  </si>
  <si>
    <t xml:space="preserve">AID0003</t>
  </si>
  <si>
    <t xml:space="preserve">Bicycle</t>
  </si>
  <si>
    <t xml:space="preserve">Windy</t>
  </si>
  <si>
    <t xml:space="preserve">Under Construction</t>
  </si>
  <si>
    <t xml:space="preserve">Fatal</t>
  </si>
  <si>
    <t xml:space="preserve">AID0004</t>
  </si>
  <si>
    <t xml:space="preserve">Pune</t>
  </si>
  <si>
    <t xml:space="preserve">Collision</t>
  </si>
  <si>
    <t xml:space="preserve">Truck</t>
  </si>
  <si>
    <t xml:space="preserve">Brake Failure</t>
  </si>
  <si>
    <t xml:space="preserve">AID0005</t>
  </si>
  <si>
    <t xml:space="preserve">Bangalore</t>
  </si>
  <si>
    <t xml:space="preserve">Animal Hit</t>
  </si>
  <si>
    <t xml:space="preserve">Weather</t>
  </si>
  <si>
    <t xml:space="preserve">AID0006</t>
  </si>
  <si>
    <t xml:space="preserve">Car</t>
  </si>
  <si>
    <t xml:space="preserve">Rainy</t>
  </si>
  <si>
    <t xml:space="preserve">Minor</t>
  </si>
  <si>
    <t xml:space="preserve">Drunk Driving</t>
  </si>
  <si>
    <t xml:space="preserve">AID0007</t>
  </si>
  <si>
    <t xml:space="preserve">Delhi</t>
  </si>
  <si>
    <t xml:space="preserve">Speeding</t>
  </si>
  <si>
    <t xml:space="preserve">AID0008</t>
  </si>
  <si>
    <t xml:space="preserve">Wet</t>
  </si>
  <si>
    <t xml:space="preserve">AID0009</t>
  </si>
  <si>
    <t xml:space="preserve">AID0010</t>
  </si>
  <si>
    <t xml:space="preserve">Ahmedabad</t>
  </si>
  <si>
    <t xml:space="preserve">Motorcycle</t>
  </si>
  <si>
    <t xml:space="preserve">Severe</t>
  </si>
  <si>
    <t xml:space="preserve">AID0011</t>
  </si>
  <si>
    <t xml:space="preserve">Object Hit</t>
  </si>
  <si>
    <t xml:space="preserve">AID0012</t>
  </si>
  <si>
    <t xml:space="preserve">Pedestrian Hit</t>
  </si>
  <si>
    <t xml:space="preserve">AID0013</t>
  </si>
  <si>
    <t xml:space="preserve">AID0014</t>
  </si>
  <si>
    <t xml:space="preserve">Chennai</t>
  </si>
  <si>
    <t xml:space="preserve">Bus</t>
  </si>
  <si>
    <t xml:space="preserve">AID0015</t>
  </si>
  <si>
    <t xml:space="preserve">AID0016</t>
  </si>
  <si>
    <t xml:space="preserve">AID0017</t>
  </si>
  <si>
    <t xml:space="preserve">AID0018</t>
  </si>
  <si>
    <t xml:space="preserve">Kolkata</t>
  </si>
  <si>
    <t xml:space="preserve">AID0019</t>
  </si>
  <si>
    <t xml:space="preserve">AID0020</t>
  </si>
  <si>
    <t xml:space="preserve">AID0021</t>
  </si>
  <si>
    <t xml:space="preserve">AID0022</t>
  </si>
  <si>
    <t xml:space="preserve">AID0023</t>
  </si>
  <si>
    <t xml:space="preserve">AID0024</t>
  </si>
  <si>
    <t xml:space="preserve">AID0025</t>
  </si>
  <si>
    <t xml:space="preserve">AID0026</t>
  </si>
  <si>
    <t xml:space="preserve">AID0027</t>
  </si>
  <si>
    <t xml:space="preserve">AID0028</t>
  </si>
  <si>
    <t xml:space="preserve">AID0029</t>
  </si>
  <si>
    <t xml:space="preserve">AID0030</t>
  </si>
  <si>
    <t xml:space="preserve">AID0031</t>
  </si>
  <si>
    <t xml:space="preserve">AID0032</t>
  </si>
  <si>
    <t xml:space="preserve">AID0033</t>
  </si>
  <si>
    <t xml:space="preserve">AID0034</t>
  </si>
  <si>
    <t xml:space="preserve">AID0035</t>
  </si>
  <si>
    <t xml:space="preserve">AID0036</t>
  </si>
  <si>
    <t xml:space="preserve">AID0037</t>
  </si>
  <si>
    <t xml:space="preserve">AID0038</t>
  </si>
  <si>
    <t xml:space="preserve">AID0039</t>
  </si>
  <si>
    <t xml:space="preserve">AID0040</t>
  </si>
  <si>
    <t xml:space="preserve">AID0041</t>
  </si>
  <si>
    <t xml:space="preserve">AID0042</t>
  </si>
  <si>
    <t xml:space="preserve">AID0043</t>
  </si>
  <si>
    <t xml:space="preserve">AID0044</t>
  </si>
  <si>
    <t xml:space="preserve">AID0045</t>
  </si>
  <si>
    <t xml:space="preserve">AID0046</t>
  </si>
  <si>
    <t xml:space="preserve">AID0047</t>
  </si>
  <si>
    <t xml:space="preserve">AID0048</t>
  </si>
  <si>
    <t xml:space="preserve">AID0049</t>
  </si>
  <si>
    <t xml:space="preserve">AID0050</t>
  </si>
  <si>
    <t xml:space="preserve">AID0051</t>
  </si>
  <si>
    <t xml:space="preserve">AID0052</t>
  </si>
  <si>
    <t xml:space="preserve">AID0053</t>
  </si>
  <si>
    <t xml:space="preserve">AID0054</t>
  </si>
  <si>
    <t xml:space="preserve">AID0055</t>
  </si>
  <si>
    <t xml:space="preserve">AID0056</t>
  </si>
  <si>
    <t xml:space="preserve">AID0057</t>
  </si>
  <si>
    <t xml:space="preserve">AID0058</t>
  </si>
  <si>
    <t xml:space="preserve">AID0059</t>
  </si>
  <si>
    <t xml:space="preserve">AID0060</t>
  </si>
  <si>
    <t xml:space="preserve">AID0061</t>
  </si>
  <si>
    <t xml:space="preserve">AID0062</t>
  </si>
  <si>
    <t xml:space="preserve">AID0063</t>
  </si>
  <si>
    <t xml:space="preserve">AID0064</t>
  </si>
  <si>
    <t xml:space="preserve">AID0065</t>
  </si>
  <si>
    <t xml:space="preserve">AID0066</t>
  </si>
  <si>
    <t xml:space="preserve">AID0067</t>
  </si>
  <si>
    <t xml:space="preserve">AID0068</t>
  </si>
  <si>
    <t xml:space="preserve">AID0069</t>
  </si>
  <si>
    <t xml:space="preserve">AID0070</t>
  </si>
  <si>
    <t xml:space="preserve">AID0071</t>
  </si>
  <si>
    <t xml:space="preserve">AID0072</t>
  </si>
  <si>
    <t xml:space="preserve">AID0073</t>
  </si>
  <si>
    <t xml:space="preserve">AID0074</t>
  </si>
  <si>
    <t xml:space="preserve">AID0075</t>
  </si>
  <si>
    <t xml:space="preserve">AID0076</t>
  </si>
  <si>
    <t xml:space="preserve">AID0077</t>
  </si>
  <si>
    <t xml:space="preserve">AID0078</t>
  </si>
  <si>
    <t xml:space="preserve">AID0079</t>
  </si>
  <si>
    <t xml:space="preserve">AID0080</t>
  </si>
  <si>
    <t xml:space="preserve">AID0081</t>
  </si>
  <si>
    <t xml:space="preserve">AID0082</t>
  </si>
  <si>
    <t xml:space="preserve">AID0083</t>
  </si>
  <si>
    <t xml:space="preserve">AID0084</t>
  </si>
  <si>
    <t xml:space="preserve">AID0085</t>
  </si>
  <si>
    <t xml:space="preserve">AID0086</t>
  </si>
  <si>
    <t xml:space="preserve">AID0087</t>
  </si>
  <si>
    <t xml:space="preserve">AID0088</t>
  </si>
  <si>
    <t xml:space="preserve">AID0089</t>
  </si>
  <si>
    <t xml:space="preserve">AID0090</t>
  </si>
  <si>
    <t xml:space="preserve">AID0091</t>
  </si>
  <si>
    <t xml:space="preserve">AID0092</t>
  </si>
  <si>
    <t xml:space="preserve">AID0093</t>
  </si>
  <si>
    <t xml:space="preserve">AID0094</t>
  </si>
  <si>
    <t xml:space="preserve">AID0095</t>
  </si>
  <si>
    <t xml:space="preserve">AID0096</t>
  </si>
  <si>
    <t xml:space="preserve">AID0097</t>
  </si>
  <si>
    <t xml:space="preserve">AID0098</t>
  </si>
  <si>
    <t xml:space="preserve">AID0099</t>
  </si>
  <si>
    <t xml:space="preserve">AID0100</t>
  </si>
  <si>
    <t xml:space="preserve">ROAD ACCIDENT ANALYSIS DASHBOARD</t>
  </si>
  <si>
    <t xml:space="preserve">Based on 100 recorded road accidents (Jan 2024 - Jun 2024)</t>
  </si>
  <si>
    <t xml:space="preserve">Accidents by Location</t>
  </si>
  <si>
    <t xml:space="preserve">Accidents by Severity</t>
  </si>
  <si>
    <t xml:space="preserve">Accident Count</t>
  </si>
  <si>
    <t xml:space="preserve">Total Casualties</t>
  </si>
  <si>
    <t xml:space="preserve">Count</t>
  </si>
  <si>
    <t xml:space="preserve">Accidents by Cause</t>
  </si>
  <si>
    <t xml:space="preserve">Accidents by Vehicle Type</t>
  </si>
  <si>
    <t xml:space="preserve">Key Metrics</t>
  </si>
  <si>
    <t xml:space="preserve">Total Accidents</t>
  </si>
  <si>
    <t xml:space="preserve">Fatal Accidents</t>
  </si>
  <si>
    <t xml:space="preserve">Avg Casualties / Accident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</si>
</sst>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Accidents by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Dashboard!B5</c:f>
              <c:strCache>
                <c:ptCount val="1"/>
                <c:pt idx="0">
                  <c:v>Accident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Dashboard!$A$6:$A$13</c:f>
              <c:strCache>
                <c:ptCount val="8"/>
                <c:pt idx="0">
                  <c:v>Hyderabad</c:v>
                </c:pt>
                <c:pt idx="1">
                  <c:v>Mumbai</c:v>
                </c:pt>
                <c:pt idx="2">
                  <c:v>Pune</c:v>
                </c:pt>
                <c:pt idx="3">
                  <c:v>Bangalore</c:v>
                </c:pt>
                <c:pt idx="4">
                  <c:v>Delhi</c:v>
                </c:pt>
                <c:pt idx="5">
                  <c:v>Chennai</c:v>
                </c:pt>
                <c:pt idx="6">
                  <c:v>Kolkata</c:v>
                </c:pt>
                <c:pt idx="7">
                  <c:v>Ahmedabad</c:v>
                </c:pt>
              </c:strCache>
            </c:strRef>
          </c:cat>
          <c:val>
            <c:numRef>
              <c:f>Dashboard!$B$6:$B$13</c:f>
              <c:numCache>
                <c:formatCode>General</c:formatCode>
                <c:ptCount val="8"/>
                <c:pt idx="0">
                  <c:v>17</c:v>
                </c:pt>
                <c:pt idx="1">
                  <c:v>16</c:v>
                </c:pt>
                <c:pt idx="2">
                  <c:v>11</c:v>
                </c:pt>
                <c:pt idx="3">
                  <c:v>14</c:v>
                </c:pt>
                <c:pt idx="4">
                  <c:v>9</c:v>
                </c:pt>
                <c:pt idx="5">
                  <c:v>12</c:v>
                </c:pt>
                <c:pt idx="6">
                  <c:v>13</c:v>
                </c:pt>
                <c:pt idx="7">
                  <c:v>8</c:v>
                </c:pt>
              </c:numCache>
            </c:numRef>
          </c:val>
        </c:ser>
        <c:gapWidth val="150"/>
        <c:overlap val="0"/>
        <c:axId val="23080215"/>
        <c:axId val="35432299"/>
      </c:barChart>
      <c:catAx>
        <c:axId val="230802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Location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32299"/>
        <c:crosses val="autoZero"/>
        <c:auto val="1"/>
        <c:lblAlgn val="ctr"/>
        <c:lblOffset val="100"/>
        <c:noMultiLvlLbl val="0"/>
      </c:catAx>
      <c:valAx>
        <c:axId val="354322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Accidents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802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Accidents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Dashboard!F5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Dashboard!$E$6:$E$9</c:f>
              <c:strCache>
                <c:ptCount val="4"/>
                <c:pt idx="0">
                  <c:v>Minor</c:v>
                </c:pt>
                <c:pt idx="1">
                  <c:v>Moderate</c:v>
                </c:pt>
                <c:pt idx="2">
                  <c:v>Severe</c:v>
                </c:pt>
                <c:pt idx="3">
                  <c:v>Fatal</c:v>
                </c:pt>
              </c:strCache>
            </c:strRef>
          </c:cat>
          <c:val>
            <c:numRef>
              <c:f>Dashboard!$F$6:$F$9</c:f>
              <c:numCache>
                <c:formatCode>General</c:formatCode>
                <c:ptCount val="4"/>
                <c:pt idx="0">
                  <c:v>26</c:v>
                </c:pt>
                <c:pt idx="1">
                  <c:v>23</c:v>
                </c:pt>
                <c:pt idx="2">
                  <c:v>27</c:v>
                </c:pt>
                <c:pt idx="3">
                  <c:v>24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Accidents by Cause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Dashboard!$A$18:$A$23</c:f>
              <c:strCache>
                <c:ptCount val="6"/>
                <c:pt idx="0">
                  <c:v>Overtaking</c:v>
                </c:pt>
                <c:pt idx="1">
                  <c:v>Distracted Driving</c:v>
                </c:pt>
                <c:pt idx="2">
                  <c:v>Brake Failure</c:v>
                </c:pt>
                <c:pt idx="3">
                  <c:v>Weather</c:v>
                </c:pt>
                <c:pt idx="4">
                  <c:v>Drunk Driving</c:v>
                </c:pt>
                <c:pt idx="5">
                  <c:v>Speeding</c:v>
                </c:pt>
              </c:strCache>
            </c:strRef>
          </c:cat>
          <c:val>
            <c:numRef>
              <c:f>Dashboard!$B$18:$B$23</c:f>
              <c:numCache>
                <c:formatCode>General</c:formatCode>
                <c:ptCount val="6"/>
                <c:pt idx="0">
                  <c:v>16</c:v>
                </c:pt>
                <c:pt idx="1">
                  <c:v>15</c:v>
                </c:pt>
                <c:pt idx="2">
                  <c:v>15</c:v>
                </c:pt>
                <c:pt idx="3">
                  <c:v>14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</c:ser>
        <c:gapWidth val="150"/>
        <c:overlap val="0"/>
        <c:axId val="71127828"/>
        <c:axId val="21384225"/>
      </c:barChart>
      <c:catAx>
        <c:axId val="711278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Cause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384225"/>
        <c:crosses val="autoZero"/>
        <c:auto val="1"/>
        <c:lblAlgn val="ctr"/>
        <c:lblOffset val="100"/>
        <c:noMultiLvlLbl val="0"/>
      </c:catAx>
      <c:valAx>
        <c:axId val="213842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Accidents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278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Accidents by Vehicle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Dashboard!F17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Dashboard!$E$18:$E$23</c:f>
              <c:strCache>
                <c:ptCount val="6"/>
                <c:pt idx="0">
                  <c:v>Auto-Rickshaw</c:v>
                </c:pt>
                <c:pt idx="1">
                  <c:v>Bicycle</c:v>
                </c:pt>
                <c:pt idx="2">
                  <c:v>Truck</c:v>
                </c:pt>
                <c:pt idx="3">
                  <c:v>Car</c:v>
                </c:pt>
                <c:pt idx="4">
                  <c:v>Motorcycle</c:v>
                </c:pt>
                <c:pt idx="5">
                  <c:v>Bus</c:v>
                </c:pt>
              </c:strCache>
            </c:strRef>
          </c:cat>
          <c:val>
            <c:numRef>
              <c:f>Dashboard!$F$18:$F$23</c:f>
              <c:numCache>
                <c:formatCode>General</c:formatCode>
                <c:ptCount val="6"/>
                <c:pt idx="0">
                  <c:v>19</c:v>
                </c:pt>
                <c:pt idx="1">
                  <c:v>15</c:v>
                </c:pt>
                <c:pt idx="2">
                  <c:v>12</c:v>
                </c:pt>
                <c:pt idx="3">
                  <c:v>22</c:v>
                </c:pt>
                <c:pt idx="4">
                  <c:v>20</c:v>
                </c:pt>
                <c:pt idx="5">
                  <c:v>12</c:v>
                </c:pt>
              </c:numCache>
            </c:numRef>
          </c:val>
        </c:ser>
        <c:gapWidth val="150"/>
        <c:overlap val="0"/>
        <c:axId val="73002894"/>
        <c:axId val="59942396"/>
      </c:barChart>
      <c:catAx>
        <c:axId val="730028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Vehicle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42396"/>
        <c:crosses val="autoZero"/>
        <c:auto val="1"/>
        <c:lblAlgn val="ctr"/>
        <c:lblOffset val="100"/>
        <c:noMultiLvlLbl val="0"/>
      </c:catAx>
      <c:valAx>
        <c:axId val="599423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Accidents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028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31</xdr:row>
      <xdr:rowOff>100800</xdr:rowOff>
    </xdr:from>
    <xdr:to>
      <xdr:col>8</xdr:col>
      <xdr:colOff>147600</xdr:colOff>
      <xdr:row>46</xdr:row>
      <xdr:rowOff>123120</xdr:rowOff>
    </xdr:to>
    <xdr:graphicFrame>
      <xdr:nvGraphicFramePr>
        <xdr:cNvPr id="0" name="Chart 1"/>
        <xdr:cNvGraphicFramePr/>
      </xdr:nvGraphicFramePr>
      <xdr:xfrm>
        <a:off x="0" y="6095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31</xdr:row>
      <xdr:rowOff>100800</xdr:rowOff>
    </xdr:from>
    <xdr:to>
      <xdr:col>13</xdr:col>
      <xdr:colOff>542160</xdr:colOff>
      <xdr:row>46</xdr:row>
      <xdr:rowOff>123120</xdr:rowOff>
    </xdr:to>
    <xdr:graphicFrame>
      <xdr:nvGraphicFramePr>
        <xdr:cNvPr id="1" name="Chart 2"/>
        <xdr:cNvGraphicFramePr/>
      </xdr:nvGraphicFramePr>
      <xdr:xfrm>
        <a:off x="4892040" y="609588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46</xdr:row>
      <xdr:rowOff>101160</xdr:rowOff>
    </xdr:from>
    <xdr:to>
      <xdr:col>8</xdr:col>
      <xdr:colOff>147600</xdr:colOff>
      <xdr:row>61</xdr:row>
      <xdr:rowOff>123120</xdr:rowOff>
    </xdr:to>
    <xdr:graphicFrame>
      <xdr:nvGraphicFramePr>
        <xdr:cNvPr id="2" name="Chart 3"/>
        <xdr:cNvGraphicFramePr/>
      </xdr:nvGraphicFramePr>
      <xdr:xfrm>
        <a:off x="0" y="8953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46</xdr:row>
      <xdr:rowOff>101160</xdr:rowOff>
    </xdr:from>
    <xdr:to>
      <xdr:col>16</xdr:col>
      <xdr:colOff>147600</xdr:colOff>
      <xdr:row>61</xdr:row>
      <xdr:rowOff>123120</xdr:rowOff>
    </xdr:to>
    <xdr:graphicFrame>
      <xdr:nvGraphicFramePr>
        <xdr:cNvPr id="3" name="Chart 4"/>
        <xdr:cNvGraphicFramePr/>
      </xdr:nvGraphicFramePr>
      <xdr:xfrm>
        <a:off x="4892040" y="8953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ccidentData" displayName="AccidentData" ref="A1:J101" headerRowCount="1" totalsRowCount="0" totalsRowShown="0">
  <autoFilter ref="A1:J101"/>
  <tableColumns count="10">
    <tableColumn id="1" name="Accident ID"/>
    <tableColumn id="2" name="Date"/>
    <tableColumn id="3" name="Location"/>
    <tableColumn id="4" name="Accident Type"/>
    <tableColumn id="5" name="Vehicle Type"/>
    <tableColumn id="6" name="Weather Condition"/>
    <tableColumn id="7" name="Road Condition"/>
    <tableColumn id="8" name="Severity"/>
    <tableColumn id="9" name="Cause"/>
    <tableColumn id="10" name="Casualti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7"/>
    <col collapsed="false" customWidth="true" hidden="false" outlineLevel="0" max="6" min="6" style="0" width="21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n">
        <v>45292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n">
        <v>0</v>
      </c>
    </row>
    <row r="3" customFormat="false" ht="15" hidden="false" customHeight="false" outlineLevel="0" collapsed="false">
      <c r="A3" s="2" t="s">
        <v>18</v>
      </c>
      <c r="B3" s="3" t="n">
        <v>45380</v>
      </c>
      <c r="C3" s="2" t="s">
        <v>19</v>
      </c>
      <c r="D3" s="2" t="s">
        <v>12</v>
      </c>
      <c r="E3" s="2" t="s">
        <v>13</v>
      </c>
      <c r="F3" s="2" t="s">
        <v>20</v>
      </c>
      <c r="G3" s="2" t="s">
        <v>21</v>
      </c>
      <c r="H3" s="2" t="s">
        <v>16</v>
      </c>
      <c r="I3" s="2" t="s">
        <v>22</v>
      </c>
      <c r="J3" s="2" t="n">
        <v>0</v>
      </c>
    </row>
    <row r="4" customFormat="false" ht="15" hidden="false" customHeight="false" outlineLevel="0" collapsed="false">
      <c r="A4" s="2" t="s">
        <v>23</v>
      </c>
      <c r="B4" s="3" t="n">
        <v>45296</v>
      </c>
      <c r="C4" s="2" t="s">
        <v>19</v>
      </c>
      <c r="D4" s="2" t="s">
        <v>12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17</v>
      </c>
      <c r="J4" s="2" t="n">
        <v>3</v>
      </c>
    </row>
    <row r="5" customFormat="false" ht="15" hidden="false" customHeight="false" outlineLevel="0" collapsed="false">
      <c r="A5" s="2" t="s">
        <v>28</v>
      </c>
      <c r="B5" s="3" t="n">
        <v>45445</v>
      </c>
      <c r="C5" s="2" t="s">
        <v>29</v>
      </c>
      <c r="D5" s="2" t="s">
        <v>30</v>
      </c>
      <c r="E5" s="2" t="s">
        <v>31</v>
      </c>
      <c r="F5" s="2" t="s">
        <v>14</v>
      </c>
      <c r="G5" s="2" t="s">
        <v>15</v>
      </c>
      <c r="H5" s="2" t="s">
        <v>27</v>
      </c>
      <c r="I5" s="2" t="s">
        <v>32</v>
      </c>
      <c r="J5" s="2" t="n">
        <v>4</v>
      </c>
    </row>
    <row r="6" customFormat="false" ht="15" hidden="false" customHeight="false" outlineLevel="0" collapsed="false">
      <c r="A6" s="2" t="s">
        <v>33</v>
      </c>
      <c r="B6" s="3" t="n">
        <v>45350</v>
      </c>
      <c r="C6" s="2" t="s">
        <v>34</v>
      </c>
      <c r="D6" s="2" t="s">
        <v>35</v>
      </c>
      <c r="E6" s="2" t="s">
        <v>13</v>
      </c>
      <c r="F6" s="2" t="s">
        <v>14</v>
      </c>
      <c r="G6" s="2" t="s">
        <v>21</v>
      </c>
      <c r="H6" s="2" t="s">
        <v>16</v>
      </c>
      <c r="I6" s="2" t="s">
        <v>36</v>
      </c>
      <c r="J6" s="2" t="n">
        <v>0</v>
      </c>
    </row>
    <row r="7" customFormat="false" ht="15" hidden="false" customHeight="false" outlineLevel="0" collapsed="false">
      <c r="A7" s="2" t="s">
        <v>37</v>
      </c>
      <c r="B7" s="3" t="n">
        <v>45399</v>
      </c>
      <c r="C7" s="2" t="s">
        <v>34</v>
      </c>
      <c r="D7" s="2" t="s">
        <v>35</v>
      </c>
      <c r="E7" s="2" t="s">
        <v>38</v>
      </c>
      <c r="F7" s="2" t="s">
        <v>39</v>
      </c>
      <c r="G7" s="2" t="s">
        <v>21</v>
      </c>
      <c r="H7" s="2" t="s">
        <v>40</v>
      </c>
      <c r="I7" s="2" t="s">
        <v>41</v>
      </c>
      <c r="J7" s="2" t="n">
        <v>4</v>
      </c>
    </row>
    <row r="8" customFormat="false" ht="15" hidden="false" customHeight="false" outlineLevel="0" collapsed="false">
      <c r="A8" s="2" t="s">
        <v>42</v>
      </c>
      <c r="B8" s="3" t="n">
        <v>45338</v>
      </c>
      <c r="C8" s="2" t="s">
        <v>43</v>
      </c>
      <c r="D8" s="2" t="s">
        <v>35</v>
      </c>
      <c r="E8" s="2" t="s">
        <v>38</v>
      </c>
      <c r="F8" s="2" t="s">
        <v>39</v>
      </c>
      <c r="G8" s="2" t="s">
        <v>15</v>
      </c>
      <c r="H8" s="2" t="s">
        <v>40</v>
      </c>
      <c r="I8" s="2" t="s">
        <v>44</v>
      </c>
      <c r="J8" s="2" t="n">
        <v>2</v>
      </c>
    </row>
    <row r="9" customFormat="false" ht="15" hidden="false" customHeight="false" outlineLevel="0" collapsed="false">
      <c r="A9" s="2" t="s">
        <v>45</v>
      </c>
      <c r="B9" s="3" t="n">
        <v>45369</v>
      </c>
      <c r="C9" s="2" t="s">
        <v>11</v>
      </c>
      <c r="D9" s="2" t="s">
        <v>12</v>
      </c>
      <c r="E9" s="2" t="s">
        <v>38</v>
      </c>
      <c r="F9" s="2" t="s">
        <v>20</v>
      </c>
      <c r="G9" s="2" t="s">
        <v>46</v>
      </c>
      <c r="H9" s="2" t="s">
        <v>16</v>
      </c>
      <c r="I9" s="2" t="s">
        <v>44</v>
      </c>
      <c r="J9" s="2" t="n">
        <v>5</v>
      </c>
    </row>
    <row r="10" customFormat="false" ht="15" hidden="false" customHeight="false" outlineLevel="0" collapsed="false">
      <c r="A10" s="2" t="s">
        <v>47</v>
      </c>
      <c r="B10" s="3" t="n">
        <v>45425</v>
      </c>
      <c r="C10" s="2" t="s">
        <v>19</v>
      </c>
      <c r="D10" s="2" t="s">
        <v>30</v>
      </c>
      <c r="E10" s="2" t="s">
        <v>38</v>
      </c>
      <c r="F10" s="2" t="s">
        <v>25</v>
      </c>
      <c r="G10" s="2" t="s">
        <v>26</v>
      </c>
      <c r="H10" s="2" t="s">
        <v>40</v>
      </c>
      <c r="I10" s="2" t="s">
        <v>36</v>
      </c>
      <c r="J10" s="2" t="n">
        <v>2</v>
      </c>
    </row>
    <row r="11" customFormat="false" ht="15" hidden="false" customHeight="false" outlineLevel="0" collapsed="false">
      <c r="A11" s="2" t="s">
        <v>48</v>
      </c>
      <c r="B11" s="3" t="n">
        <v>45307</v>
      </c>
      <c r="C11" s="2" t="s">
        <v>49</v>
      </c>
      <c r="D11" s="2" t="s">
        <v>30</v>
      </c>
      <c r="E11" s="2" t="s">
        <v>50</v>
      </c>
      <c r="F11" s="2" t="s">
        <v>14</v>
      </c>
      <c r="G11" s="2" t="s">
        <v>26</v>
      </c>
      <c r="H11" s="2" t="s">
        <v>51</v>
      </c>
      <c r="I11" s="2" t="s">
        <v>44</v>
      </c>
      <c r="J11" s="2" t="n">
        <v>5</v>
      </c>
    </row>
    <row r="12" customFormat="false" ht="15" hidden="false" customHeight="false" outlineLevel="0" collapsed="false">
      <c r="A12" s="2" t="s">
        <v>52</v>
      </c>
      <c r="B12" s="3" t="n">
        <v>45299</v>
      </c>
      <c r="C12" s="2" t="s">
        <v>29</v>
      </c>
      <c r="D12" s="2" t="s">
        <v>53</v>
      </c>
      <c r="E12" s="2" t="s">
        <v>13</v>
      </c>
      <c r="F12" s="2" t="s">
        <v>14</v>
      </c>
      <c r="G12" s="2" t="s">
        <v>21</v>
      </c>
      <c r="H12" s="2" t="s">
        <v>27</v>
      </c>
      <c r="I12" s="2" t="s">
        <v>17</v>
      </c>
      <c r="J12" s="2" t="n">
        <v>0</v>
      </c>
    </row>
    <row r="13" customFormat="false" ht="15" hidden="false" customHeight="false" outlineLevel="0" collapsed="false">
      <c r="A13" s="2" t="s">
        <v>54</v>
      </c>
      <c r="B13" s="3" t="n">
        <v>45468</v>
      </c>
      <c r="C13" s="2" t="s">
        <v>49</v>
      </c>
      <c r="D13" s="2" t="s">
        <v>55</v>
      </c>
      <c r="E13" s="2" t="s">
        <v>38</v>
      </c>
      <c r="F13" s="2" t="s">
        <v>14</v>
      </c>
      <c r="G13" s="2" t="s">
        <v>26</v>
      </c>
      <c r="H13" s="2" t="s">
        <v>51</v>
      </c>
      <c r="I13" s="2" t="s">
        <v>17</v>
      </c>
      <c r="J13" s="2" t="n">
        <v>3</v>
      </c>
    </row>
    <row r="14" customFormat="false" ht="15" hidden="false" customHeight="false" outlineLevel="0" collapsed="false">
      <c r="A14" s="2" t="s">
        <v>56</v>
      </c>
      <c r="B14" s="3" t="n">
        <v>45380</v>
      </c>
      <c r="C14" s="2" t="s">
        <v>34</v>
      </c>
      <c r="D14" s="2" t="s">
        <v>55</v>
      </c>
      <c r="E14" s="2" t="s">
        <v>24</v>
      </c>
      <c r="F14" s="2" t="s">
        <v>39</v>
      </c>
      <c r="G14" s="2" t="s">
        <v>46</v>
      </c>
      <c r="H14" s="2" t="s">
        <v>51</v>
      </c>
      <c r="I14" s="2" t="s">
        <v>44</v>
      </c>
      <c r="J14" s="2" t="n">
        <v>1</v>
      </c>
    </row>
    <row r="15" customFormat="false" ht="15" hidden="false" customHeight="false" outlineLevel="0" collapsed="false">
      <c r="A15" s="2" t="s">
        <v>57</v>
      </c>
      <c r="B15" s="3" t="n">
        <v>45384</v>
      </c>
      <c r="C15" s="2" t="s">
        <v>58</v>
      </c>
      <c r="D15" s="2" t="s">
        <v>12</v>
      </c>
      <c r="E15" s="2" t="s">
        <v>59</v>
      </c>
      <c r="F15" s="2" t="s">
        <v>20</v>
      </c>
      <c r="G15" s="2" t="s">
        <v>15</v>
      </c>
      <c r="H15" s="2" t="s">
        <v>51</v>
      </c>
      <c r="I15" s="2" t="s">
        <v>41</v>
      </c>
      <c r="J15" s="2" t="n">
        <v>2</v>
      </c>
    </row>
    <row r="16" customFormat="false" ht="15" hidden="false" customHeight="false" outlineLevel="0" collapsed="false">
      <c r="A16" s="2" t="s">
        <v>60</v>
      </c>
      <c r="B16" s="3" t="n">
        <v>45378</v>
      </c>
      <c r="C16" s="2" t="s">
        <v>58</v>
      </c>
      <c r="D16" s="2" t="s">
        <v>55</v>
      </c>
      <c r="E16" s="2" t="s">
        <v>50</v>
      </c>
      <c r="F16" s="2" t="s">
        <v>20</v>
      </c>
      <c r="G16" s="2" t="s">
        <v>26</v>
      </c>
      <c r="H16" s="2" t="s">
        <v>16</v>
      </c>
      <c r="I16" s="2" t="s">
        <v>32</v>
      </c>
      <c r="J16" s="2" t="n">
        <v>1</v>
      </c>
    </row>
    <row r="17" customFormat="false" ht="15" hidden="false" customHeight="false" outlineLevel="0" collapsed="false">
      <c r="A17" s="2" t="s">
        <v>61</v>
      </c>
      <c r="B17" s="3" t="n">
        <v>45431</v>
      </c>
      <c r="C17" s="2" t="s">
        <v>58</v>
      </c>
      <c r="D17" s="2" t="s">
        <v>12</v>
      </c>
      <c r="E17" s="2" t="s">
        <v>31</v>
      </c>
      <c r="F17" s="2" t="s">
        <v>20</v>
      </c>
      <c r="G17" s="2" t="s">
        <v>21</v>
      </c>
      <c r="H17" s="2" t="s">
        <v>51</v>
      </c>
      <c r="I17" s="2" t="s">
        <v>22</v>
      </c>
      <c r="J17" s="2" t="n">
        <v>5</v>
      </c>
    </row>
    <row r="18" customFormat="false" ht="15" hidden="false" customHeight="false" outlineLevel="0" collapsed="false">
      <c r="A18" s="2" t="s">
        <v>62</v>
      </c>
      <c r="B18" s="3" t="n">
        <v>45354</v>
      </c>
      <c r="C18" s="2" t="s">
        <v>11</v>
      </c>
      <c r="D18" s="2" t="s">
        <v>30</v>
      </c>
      <c r="E18" s="2" t="s">
        <v>50</v>
      </c>
      <c r="F18" s="2" t="s">
        <v>25</v>
      </c>
      <c r="G18" s="2" t="s">
        <v>26</v>
      </c>
      <c r="H18" s="2" t="s">
        <v>16</v>
      </c>
      <c r="I18" s="2" t="s">
        <v>22</v>
      </c>
      <c r="J18" s="2" t="n">
        <v>4</v>
      </c>
    </row>
    <row r="19" customFormat="false" ht="15" hidden="false" customHeight="false" outlineLevel="0" collapsed="false">
      <c r="A19" s="2" t="s">
        <v>63</v>
      </c>
      <c r="B19" s="3" t="n">
        <v>45359</v>
      </c>
      <c r="C19" s="2" t="s">
        <v>64</v>
      </c>
      <c r="D19" s="2" t="s">
        <v>12</v>
      </c>
      <c r="E19" s="2" t="s">
        <v>38</v>
      </c>
      <c r="F19" s="2" t="s">
        <v>25</v>
      </c>
      <c r="G19" s="2" t="s">
        <v>26</v>
      </c>
      <c r="H19" s="2" t="s">
        <v>16</v>
      </c>
      <c r="I19" s="2" t="s">
        <v>32</v>
      </c>
      <c r="J19" s="2" t="n">
        <v>3</v>
      </c>
    </row>
    <row r="20" customFormat="false" ht="15" hidden="false" customHeight="false" outlineLevel="0" collapsed="false">
      <c r="A20" s="2" t="s">
        <v>65</v>
      </c>
      <c r="B20" s="3" t="n">
        <v>45469</v>
      </c>
      <c r="C20" s="2" t="s">
        <v>43</v>
      </c>
      <c r="D20" s="2" t="s">
        <v>12</v>
      </c>
      <c r="E20" s="2" t="s">
        <v>50</v>
      </c>
      <c r="F20" s="2" t="s">
        <v>39</v>
      </c>
      <c r="G20" s="2" t="s">
        <v>46</v>
      </c>
      <c r="H20" s="2" t="s">
        <v>51</v>
      </c>
      <c r="I20" s="2" t="s">
        <v>41</v>
      </c>
      <c r="J20" s="2" t="n">
        <v>4</v>
      </c>
    </row>
    <row r="21" customFormat="false" ht="15" hidden="false" customHeight="false" outlineLevel="0" collapsed="false">
      <c r="A21" s="2" t="s">
        <v>66</v>
      </c>
      <c r="B21" s="3" t="n">
        <v>45317</v>
      </c>
      <c r="C21" s="2" t="s">
        <v>43</v>
      </c>
      <c r="D21" s="2" t="s">
        <v>30</v>
      </c>
      <c r="E21" s="2" t="s">
        <v>24</v>
      </c>
      <c r="F21" s="2" t="s">
        <v>39</v>
      </c>
      <c r="G21" s="2" t="s">
        <v>21</v>
      </c>
      <c r="H21" s="2" t="s">
        <v>16</v>
      </c>
      <c r="I21" s="2" t="s">
        <v>32</v>
      </c>
      <c r="J21" s="2" t="n">
        <v>5</v>
      </c>
    </row>
    <row r="22" customFormat="false" ht="15" hidden="false" customHeight="false" outlineLevel="0" collapsed="false">
      <c r="A22" s="2" t="s">
        <v>67</v>
      </c>
      <c r="B22" s="3" t="n">
        <v>45327</v>
      </c>
      <c r="C22" s="2" t="s">
        <v>29</v>
      </c>
      <c r="D22" s="2" t="s">
        <v>35</v>
      </c>
      <c r="E22" s="2" t="s">
        <v>50</v>
      </c>
      <c r="F22" s="2" t="s">
        <v>25</v>
      </c>
      <c r="G22" s="2" t="s">
        <v>21</v>
      </c>
      <c r="H22" s="2" t="s">
        <v>40</v>
      </c>
      <c r="I22" s="2" t="s">
        <v>22</v>
      </c>
      <c r="J22" s="2" t="n">
        <v>5</v>
      </c>
    </row>
    <row r="23" customFormat="false" ht="15" hidden="false" customHeight="false" outlineLevel="0" collapsed="false">
      <c r="A23" s="2" t="s">
        <v>68</v>
      </c>
      <c r="B23" s="3" t="n">
        <v>45450</v>
      </c>
      <c r="C23" s="2" t="s">
        <v>11</v>
      </c>
      <c r="D23" s="2" t="s">
        <v>53</v>
      </c>
      <c r="E23" s="2" t="s">
        <v>31</v>
      </c>
      <c r="F23" s="2" t="s">
        <v>20</v>
      </c>
      <c r="G23" s="2" t="s">
        <v>26</v>
      </c>
      <c r="H23" s="2" t="s">
        <v>27</v>
      </c>
      <c r="I23" s="2" t="s">
        <v>36</v>
      </c>
      <c r="J23" s="2" t="n">
        <v>4</v>
      </c>
    </row>
    <row r="24" customFormat="false" ht="15" hidden="false" customHeight="false" outlineLevel="0" collapsed="false">
      <c r="A24" s="2" t="s">
        <v>69</v>
      </c>
      <c r="B24" s="3" t="n">
        <v>45378</v>
      </c>
      <c r="C24" s="2" t="s">
        <v>58</v>
      </c>
      <c r="D24" s="2" t="s">
        <v>30</v>
      </c>
      <c r="E24" s="2" t="s">
        <v>24</v>
      </c>
      <c r="F24" s="2" t="s">
        <v>39</v>
      </c>
      <c r="G24" s="2" t="s">
        <v>26</v>
      </c>
      <c r="H24" s="2" t="s">
        <v>51</v>
      </c>
      <c r="I24" s="2" t="s">
        <v>36</v>
      </c>
      <c r="J24" s="2" t="n">
        <v>4</v>
      </c>
    </row>
    <row r="25" customFormat="false" ht="15" hidden="false" customHeight="false" outlineLevel="0" collapsed="false">
      <c r="A25" s="2" t="s">
        <v>70</v>
      </c>
      <c r="B25" s="3" t="n">
        <v>45346</v>
      </c>
      <c r="C25" s="2" t="s">
        <v>19</v>
      </c>
      <c r="D25" s="2" t="s">
        <v>53</v>
      </c>
      <c r="E25" s="2" t="s">
        <v>31</v>
      </c>
      <c r="F25" s="2" t="s">
        <v>39</v>
      </c>
      <c r="G25" s="2" t="s">
        <v>15</v>
      </c>
      <c r="H25" s="2" t="s">
        <v>16</v>
      </c>
      <c r="I25" s="2" t="s">
        <v>17</v>
      </c>
      <c r="J25" s="2" t="n">
        <v>0</v>
      </c>
    </row>
    <row r="26" customFormat="false" ht="15" hidden="false" customHeight="false" outlineLevel="0" collapsed="false">
      <c r="A26" s="2" t="s">
        <v>71</v>
      </c>
      <c r="B26" s="3" t="n">
        <v>45447</v>
      </c>
      <c r="C26" s="2" t="s">
        <v>43</v>
      </c>
      <c r="D26" s="2" t="s">
        <v>35</v>
      </c>
      <c r="E26" s="2" t="s">
        <v>50</v>
      </c>
      <c r="F26" s="2" t="s">
        <v>39</v>
      </c>
      <c r="G26" s="2" t="s">
        <v>21</v>
      </c>
      <c r="H26" s="2" t="s">
        <v>27</v>
      </c>
      <c r="I26" s="2" t="s">
        <v>41</v>
      </c>
      <c r="J26" s="2" t="n">
        <v>1</v>
      </c>
    </row>
    <row r="27" customFormat="false" ht="15" hidden="false" customHeight="false" outlineLevel="0" collapsed="false">
      <c r="A27" s="2" t="s">
        <v>72</v>
      </c>
      <c r="B27" s="3" t="n">
        <v>45442</v>
      </c>
      <c r="C27" s="2" t="s">
        <v>29</v>
      </c>
      <c r="D27" s="2" t="s">
        <v>30</v>
      </c>
      <c r="E27" s="2" t="s">
        <v>59</v>
      </c>
      <c r="F27" s="2" t="s">
        <v>14</v>
      </c>
      <c r="G27" s="2" t="s">
        <v>21</v>
      </c>
      <c r="H27" s="2" t="s">
        <v>16</v>
      </c>
      <c r="I27" s="2" t="s">
        <v>36</v>
      </c>
      <c r="J27" s="2" t="n">
        <v>0</v>
      </c>
    </row>
    <row r="28" customFormat="false" ht="15" hidden="false" customHeight="false" outlineLevel="0" collapsed="false">
      <c r="A28" s="2" t="s">
        <v>73</v>
      </c>
      <c r="B28" s="3" t="n">
        <v>45386</v>
      </c>
      <c r="C28" s="2" t="s">
        <v>11</v>
      </c>
      <c r="D28" s="2" t="s">
        <v>55</v>
      </c>
      <c r="E28" s="2" t="s">
        <v>38</v>
      </c>
      <c r="F28" s="2" t="s">
        <v>25</v>
      </c>
      <c r="G28" s="2" t="s">
        <v>46</v>
      </c>
      <c r="H28" s="2" t="s">
        <v>27</v>
      </c>
      <c r="I28" s="2" t="s">
        <v>17</v>
      </c>
      <c r="J28" s="2" t="n">
        <v>0</v>
      </c>
    </row>
    <row r="29" customFormat="false" ht="15" hidden="false" customHeight="false" outlineLevel="0" collapsed="false">
      <c r="A29" s="2" t="s">
        <v>74</v>
      </c>
      <c r="B29" s="3" t="n">
        <v>45422</v>
      </c>
      <c r="C29" s="2" t="s">
        <v>11</v>
      </c>
      <c r="D29" s="2" t="s">
        <v>12</v>
      </c>
      <c r="E29" s="2" t="s">
        <v>24</v>
      </c>
      <c r="F29" s="2" t="s">
        <v>20</v>
      </c>
      <c r="G29" s="2" t="s">
        <v>15</v>
      </c>
      <c r="H29" s="2" t="s">
        <v>51</v>
      </c>
      <c r="I29" s="2" t="s">
        <v>32</v>
      </c>
      <c r="J29" s="2" t="n">
        <v>4</v>
      </c>
    </row>
    <row r="30" customFormat="false" ht="15" hidden="false" customHeight="false" outlineLevel="0" collapsed="false">
      <c r="A30" s="2" t="s">
        <v>75</v>
      </c>
      <c r="B30" s="3" t="n">
        <v>45353</v>
      </c>
      <c r="C30" s="2" t="s">
        <v>58</v>
      </c>
      <c r="D30" s="2" t="s">
        <v>35</v>
      </c>
      <c r="E30" s="2" t="s">
        <v>13</v>
      </c>
      <c r="F30" s="2" t="s">
        <v>39</v>
      </c>
      <c r="G30" s="2" t="s">
        <v>21</v>
      </c>
      <c r="H30" s="2" t="s">
        <v>51</v>
      </c>
      <c r="I30" s="2" t="s">
        <v>36</v>
      </c>
      <c r="J30" s="2" t="n">
        <v>4</v>
      </c>
    </row>
    <row r="31" customFormat="false" ht="15" hidden="false" customHeight="false" outlineLevel="0" collapsed="false">
      <c r="A31" s="2" t="s">
        <v>76</v>
      </c>
      <c r="B31" s="3" t="n">
        <v>45398</v>
      </c>
      <c r="C31" s="2" t="s">
        <v>29</v>
      </c>
      <c r="D31" s="2" t="s">
        <v>55</v>
      </c>
      <c r="E31" s="2" t="s">
        <v>38</v>
      </c>
      <c r="F31" s="2" t="s">
        <v>20</v>
      </c>
      <c r="G31" s="2" t="s">
        <v>26</v>
      </c>
      <c r="H31" s="2" t="s">
        <v>51</v>
      </c>
      <c r="I31" s="2" t="s">
        <v>22</v>
      </c>
      <c r="J31" s="2" t="n">
        <v>0</v>
      </c>
    </row>
    <row r="32" customFormat="false" ht="15" hidden="false" customHeight="false" outlineLevel="0" collapsed="false">
      <c r="A32" s="2" t="s">
        <v>77</v>
      </c>
      <c r="B32" s="3" t="n">
        <v>45452</v>
      </c>
      <c r="C32" s="2" t="s">
        <v>64</v>
      </c>
      <c r="D32" s="2" t="s">
        <v>53</v>
      </c>
      <c r="E32" s="2" t="s">
        <v>50</v>
      </c>
      <c r="F32" s="2" t="s">
        <v>39</v>
      </c>
      <c r="G32" s="2" t="s">
        <v>46</v>
      </c>
      <c r="H32" s="2" t="s">
        <v>51</v>
      </c>
      <c r="I32" s="2" t="s">
        <v>17</v>
      </c>
      <c r="J32" s="2" t="n">
        <v>5</v>
      </c>
    </row>
    <row r="33" customFormat="false" ht="15" hidden="false" customHeight="false" outlineLevel="0" collapsed="false">
      <c r="A33" s="2" t="s">
        <v>78</v>
      </c>
      <c r="B33" s="3" t="n">
        <v>45347</v>
      </c>
      <c r="C33" s="2" t="s">
        <v>58</v>
      </c>
      <c r="D33" s="2" t="s">
        <v>55</v>
      </c>
      <c r="E33" s="2" t="s">
        <v>13</v>
      </c>
      <c r="F33" s="2" t="s">
        <v>39</v>
      </c>
      <c r="G33" s="2" t="s">
        <v>21</v>
      </c>
      <c r="H33" s="2" t="s">
        <v>27</v>
      </c>
      <c r="I33" s="2" t="s">
        <v>41</v>
      </c>
      <c r="J33" s="2" t="n">
        <v>2</v>
      </c>
    </row>
    <row r="34" customFormat="false" ht="15" hidden="false" customHeight="false" outlineLevel="0" collapsed="false">
      <c r="A34" s="2" t="s">
        <v>79</v>
      </c>
      <c r="B34" s="3" t="n">
        <v>45467</v>
      </c>
      <c r="C34" s="2" t="s">
        <v>29</v>
      </c>
      <c r="D34" s="2" t="s">
        <v>53</v>
      </c>
      <c r="E34" s="2" t="s">
        <v>13</v>
      </c>
      <c r="F34" s="2" t="s">
        <v>25</v>
      </c>
      <c r="G34" s="2" t="s">
        <v>21</v>
      </c>
      <c r="H34" s="2" t="s">
        <v>27</v>
      </c>
      <c r="I34" s="2" t="s">
        <v>22</v>
      </c>
      <c r="J34" s="2" t="n">
        <v>1</v>
      </c>
    </row>
    <row r="35" customFormat="false" ht="15" hidden="false" customHeight="false" outlineLevel="0" collapsed="false">
      <c r="A35" s="2" t="s">
        <v>80</v>
      </c>
      <c r="B35" s="3" t="n">
        <v>45403</v>
      </c>
      <c r="C35" s="2" t="s">
        <v>64</v>
      </c>
      <c r="D35" s="2" t="s">
        <v>35</v>
      </c>
      <c r="E35" s="2" t="s">
        <v>24</v>
      </c>
      <c r="F35" s="2" t="s">
        <v>14</v>
      </c>
      <c r="G35" s="2" t="s">
        <v>26</v>
      </c>
      <c r="H35" s="2" t="s">
        <v>40</v>
      </c>
      <c r="I35" s="2" t="s">
        <v>41</v>
      </c>
      <c r="J35" s="2" t="n">
        <v>1</v>
      </c>
    </row>
    <row r="36" customFormat="false" ht="15" hidden="false" customHeight="false" outlineLevel="0" collapsed="false">
      <c r="A36" s="2" t="s">
        <v>81</v>
      </c>
      <c r="B36" s="3" t="n">
        <v>45293</v>
      </c>
      <c r="C36" s="2" t="s">
        <v>19</v>
      </c>
      <c r="D36" s="2" t="s">
        <v>12</v>
      </c>
      <c r="E36" s="2" t="s">
        <v>31</v>
      </c>
      <c r="F36" s="2" t="s">
        <v>14</v>
      </c>
      <c r="G36" s="2" t="s">
        <v>46</v>
      </c>
      <c r="H36" s="2" t="s">
        <v>51</v>
      </c>
      <c r="I36" s="2" t="s">
        <v>44</v>
      </c>
      <c r="J36" s="2" t="n">
        <v>3</v>
      </c>
    </row>
    <row r="37" customFormat="false" ht="15" hidden="false" customHeight="false" outlineLevel="0" collapsed="false">
      <c r="A37" s="2" t="s">
        <v>82</v>
      </c>
      <c r="B37" s="3" t="n">
        <v>45436</v>
      </c>
      <c r="C37" s="2" t="s">
        <v>64</v>
      </c>
      <c r="D37" s="2" t="s">
        <v>35</v>
      </c>
      <c r="E37" s="2" t="s">
        <v>13</v>
      </c>
      <c r="F37" s="2" t="s">
        <v>14</v>
      </c>
      <c r="G37" s="2" t="s">
        <v>46</v>
      </c>
      <c r="H37" s="2" t="s">
        <v>16</v>
      </c>
      <c r="I37" s="2" t="s">
        <v>22</v>
      </c>
      <c r="J37" s="2" t="n">
        <v>4</v>
      </c>
    </row>
    <row r="38" customFormat="false" ht="15" hidden="false" customHeight="false" outlineLevel="0" collapsed="false">
      <c r="A38" s="2" t="s">
        <v>83</v>
      </c>
      <c r="B38" s="3" t="n">
        <v>45317</v>
      </c>
      <c r="C38" s="2" t="s">
        <v>49</v>
      </c>
      <c r="D38" s="2" t="s">
        <v>53</v>
      </c>
      <c r="E38" s="2" t="s">
        <v>50</v>
      </c>
      <c r="F38" s="2" t="s">
        <v>14</v>
      </c>
      <c r="G38" s="2" t="s">
        <v>26</v>
      </c>
      <c r="H38" s="2" t="s">
        <v>40</v>
      </c>
      <c r="I38" s="2" t="s">
        <v>17</v>
      </c>
      <c r="J38" s="2" t="n">
        <v>5</v>
      </c>
    </row>
    <row r="39" customFormat="false" ht="15" hidden="false" customHeight="false" outlineLevel="0" collapsed="false">
      <c r="A39" s="2" t="s">
        <v>84</v>
      </c>
      <c r="B39" s="3" t="n">
        <v>45314</v>
      </c>
      <c r="C39" s="2" t="s">
        <v>34</v>
      </c>
      <c r="D39" s="2" t="s">
        <v>12</v>
      </c>
      <c r="E39" s="2" t="s">
        <v>13</v>
      </c>
      <c r="F39" s="2" t="s">
        <v>25</v>
      </c>
      <c r="G39" s="2" t="s">
        <v>26</v>
      </c>
      <c r="H39" s="2" t="s">
        <v>51</v>
      </c>
      <c r="I39" s="2" t="s">
        <v>44</v>
      </c>
      <c r="J39" s="2" t="n">
        <v>0</v>
      </c>
    </row>
    <row r="40" customFormat="false" ht="15" hidden="false" customHeight="false" outlineLevel="0" collapsed="false">
      <c r="A40" s="2" t="s">
        <v>85</v>
      </c>
      <c r="B40" s="3" t="n">
        <v>45408</v>
      </c>
      <c r="C40" s="2" t="s">
        <v>29</v>
      </c>
      <c r="D40" s="2" t="s">
        <v>35</v>
      </c>
      <c r="E40" s="2" t="s">
        <v>38</v>
      </c>
      <c r="F40" s="2" t="s">
        <v>20</v>
      </c>
      <c r="G40" s="2" t="s">
        <v>26</v>
      </c>
      <c r="H40" s="2" t="s">
        <v>27</v>
      </c>
      <c r="I40" s="2" t="s">
        <v>44</v>
      </c>
      <c r="J40" s="2" t="n">
        <v>2</v>
      </c>
    </row>
    <row r="41" customFormat="false" ht="15" hidden="false" customHeight="false" outlineLevel="0" collapsed="false">
      <c r="A41" s="2" t="s">
        <v>86</v>
      </c>
      <c r="B41" s="3" t="n">
        <v>45365</v>
      </c>
      <c r="C41" s="2" t="s">
        <v>11</v>
      </c>
      <c r="D41" s="2" t="s">
        <v>12</v>
      </c>
      <c r="E41" s="2" t="s">
        <v>13</v>
      </c>
      <c r="F41" s="2" t="s">
        <v>39</v>
      </c>
      <c r="G41" s="2" t="s">
        <v>21</v>
      </c>
      <c r="H41" s="2" t="s">
        <v>27</v>
      </c>
      <c r="I41" s="2" t="s">
        <v>36</v>
      </c>
      <c r="J41" s="2" t="n">
        <v>1</v>
      </c>
    </row>
    <row r="42" customFormat="false" ht="15" hidden="false" customHeight="false" outlineLevel="0" collapsed="false">
      <c r="A42" s="2" t="s">
        <v>87</v>
      </c>
      <c r="B42" s="3" t="n">
        <v>45301</v>
      </c>
      <c r="C42" s="2" t="s">
        <v>11</v>
      </c>
      <c r="D42" s="2" t="s">
        <v>35</v>
      </c>
      <c r="E42" s="2" t="s">
        <v>13</v>
      </c>
      <c r="F42" s="2" t="s">
        <v>14</v>
      </c>
      <c r="G42" s="2" t="s">
        <v>46</v>
      </c>
      <c r="H42" s="2" t="s">
        <v>40</v>
      </c>
      <c r="I42" s="2" t="s">
        <v>32</v>
      </c>
      <c r="J42" s="2" t="n">
        <v>4</v>
      </c>
    </row>
    <row r="43" customFormat="false" ht="15" hidden="false" customHeight="false" outlineLevel="0" collapsed="false">
      <c r="A43" s="2" t="s">
        <v>88</v>
      </c>
      <c r="B43" s="3" t="n">
        <v>45410</v>
      </c>
      <c r="C43" s="2" t="s">
        <v>19</v>
      </c>
      <c r="D43" s="2" t="s">
        <v>30</v>
      </c>
      <c r="E43" s="2" t="s">
        <v>38</v>
      </c>
      <c r="F43" s="2" t="s">
        <v>20</v>
      </c>
      <c r="G43" s="2" t="s">
        <v>26</v>
      </c>
      <c r="H43" s="2" t="s">
        <v>40</v>
      </c>
      <c r="I43" s="2" t="s">
        <v>44</v>
      </c>
      <c r="J43" s="2" t="n">
        <v>2</v>
      </c>
    </row>
    <row r="44" customFormat="false" ht="15" hidden="false" customHeight="false" outlineLevel="0" collapsed="false">
      <c r="A44" s="2" t="s">
        <v>89</v>
      </c>
      <c r="B44" s="3" t="n">
        <v>45314</v>
      </c>
      <c r="C44" s="2" t="s">
        <v>34</v>
      </c>
      <c r="D44" s="2" t="s">
        <v>12</v>
      </c>
      <c r="E44" s="2" t="s">
        <v>24</v>
      </c>
      <c r="F44" s="2" t="s">
        <v>25</v>
      </c>
      <c r="G44" s="2" t="s">
        <v>26</v>
      </c>
      <c r="H44" s="2" t="s">
        <v>40</v>
      </c>
      <c r="I44" s="2" t="s">
        <v>32</v>
      </c>
      <c r="J44" s="2" t="n">
        <v>2</v>
      </c>
    </row>
    <row r="45" customFormat="false" ht="15" hidden="false" customHeight="false" outlineLevel="0" collapsed="false">
      <c r="A45" s="2" t="s">
        <v>90</v>
      </c>
      <c r="B45" s="3" t="n">
        <v>45370</v>
      </c>
      <c r="C45" s="2" t="s">
        <v>11</v>
      </c>
      <c r="D45" s="2" t="s">
        <v>35</v>
      </c>
      <c r="E45" s="2" t="s">
        <v>38</v>
      </c>
      <c r="F45" s="2" t="s">
        <v>25</v>
      </c>
      <c r="G45" s="2" t="s">
        <v>46</v>
      </c>
      <c r="H45" s="2" t="s">
        <v>27</v>
      </c>
      <c r="I45" s="2" t="s">
        <v>36</v>
      </c>
      <c r="J45" s="2" t="n">
        <v>4</v>
      </c>
    </row>
    <row r="46" customFormat="false" ht="15" hidden="false" customHeight="false" outlineLevel="0" collapsed="false">
      <c r="A46" s="2" t="s">
        <v>91</v>
      </c>
      <c r="B46" s="3" t="n">
        <v>45371</v>
      </c>
      <c r="C46" s="2" t="s">
        <v>11</v>
      </c>
      <c r="D46" s="2" t="s">
        <v>12</v>
      </c>
      <c r="E46" s="2" t="s">
        <v>59</v>
      </c>
      <c r="F46" s="2" t="s">
        <v>14</v>
      </c>
      <c r="G46" s="2" t="s">
        <v>46</v>
      </c>
      <c r="H46" s="2" t="s">
        <v>51</v>
      </c>
      <c r="I46" s="2" t="s">
        <v>32</v>
      </c>
      <c r="J46" s="2" t="n">
        <v>3</v>
      </c>
    </row>
    <row r="47" customFormat="false" ht="15" hidden="false" customHeight="false" outlineLevel="0" collapsed="false">
      <c r="A47" s="2" t="s">
        <v>92</v>
      </c>
      <c r="B47" s="3" t="n">
        <v>45417</v>
      </c>
      <c r="C47" s="2" t="s">
        <v>19</v>
      </c>
      <c r="D47" s="2" t="s">
        <v>35</v>
      </c>
      <c r="E47" s="2" t="s">
        <v>50</v>
      </c>
      <c r="F47" s="2" t="s">
        <v>39</v>
      </c>
      <c r="G47" s="2" t="s">
        <v>15</v>
      </c>
      <c r="H47" s="2" t="s">
        <v>40</v>
      </c>
      <c r="I47" s="2" t="s">
        <v>44</v>
      </c>
      <c r="J47" s="2" t="n">
        <v>0</v>
      </c>
    </row>
    <row r="48" customFormat="false" ht="15" hidden="false" customHeight="false" outlineLevel="0" collapsed="false">
      <c r="A48" s="2" t="s">
        <v>93</v>
      </c>
      <c r="B48" s="3" t="n">
        <v>45402</v>
      </c>
      <c r="C48" s="2" t="s">
        <v>11</v>
      </c>
      <c r="D48" s="2" t="s">
        <v>12</v>
      </c>
      <c r="E48" s="2" t="s">
        <v>38</v>
      </c>
      <c r="F48" s="2" t="s">
        <v>20</v>
      </c>
      <c r="G48" s="2" t="s">
        <v>15</v>
      </c>
      <c r="H48" s="2" t="s">
        <v>51</v>
      </c>
      <c r="I48" s="2" t="s">
        <v>17</v>
      </c>
      <c r="J48" s="2" t="n">
        <v>1</v>
      </c>
    </row>
    <row r="49" customFormat="false" ht="15" hidden="false" customHeight="false" outlineLevel="0" collapsed="false">
      <c r="A49" s="2" t="s">
        <v>94</v>
      </c>
      <c r="B49" s="3" t="n">
        <v>45466</v>
      </c>
      <c r="C49" s="2" t="s">
        <v>58</v>
      </c>
      <c r="D49" s="2" t="s">
        <v>35</v>
      </c>
      <c r="E49" s="2" t="s">
        <v>50</v>
      </c>
      <c r="F49" s="2" t="s">
        <v>39</v>
      </c>
      <c r="G49" s="2" t="s">
        <v>46</v>
      </c>
      <c r="H49" s="2" t="s">
        <v>27</v>
      </c>
      <c r="I49" s="2" t="s">
        <v>41</v>
      </c>
      <c r="J49" s="2" t="n">
        <v>0</v>
      </c>
    </row>
    <row r="50" customFormat="false" ht="15" hidden="false" customHeight="false" outlineLevel="0" collapsed="false">
      <c r="A50" s="2" t="s">
        <v>95</v>
      </c>
      <c r="B50" s="3" t="n">
        <v>45369</v>
      </c>
      <c r="C50" s="2" t="s">
        <v>64</v>
      </c>
      <c r="D50" s="2" t="s">
        <v>30</v>
      </c>
      <c r="E50" s="2" t="s">
        <v>50</v>
      </c>
      <c r="F50" s="2" t="s">
        <v>14</v>
      </c>
      <c r="G50" s="2" t="s">
        <v>15</v>
      </c>
      <c r="H50" s="2" t="s">
        <v>16</v>
      </c>
      <c r="I50" s="2" t="s">
        <v>36</v>
      </c>
      <c r="J50" s="2" t="n">
        <v>5</v>
      </c>
    </row>
    <row r="51" customFormat="false" ht="15" hidden="false" customHeight="false" outlineLevel="0" collapsed="false">
      <c r="A51" s="2" t="s">
        <v>96</v>
      </c>
      <c r="B51" s="3" t="n">
        <v>45436</v>
      </c>
      <c r="C51" s="2" t="s">
        <v>34</v>
      </c>
      <c r="D51" s="2" t="s">
        <v>55</v>
      </c>
      <c r="E51" s="2" t="s">
        <v>31</v>
      </c>
      <c r="F51" s="2" t="s">
        <v>20</v>
      </c>
      <c r="G51" s="2" t="s">
        <v>21</v>
      </c>
      <c r="H51" s="2" t="s">
        <v>40</v>
      </c>
      <c r="I51" s="2" t="s">
        <v>44</v>
      </c>
      <c r="J51" s="2" t="n">
        <v>2</v>
      </c>
    </row>
    <row r="52" customFormat="false" ht="15" hidden="false" customHeight="false" outlineLevel="0" collapsed="false">
      <c r="A52" s="2" t="s">
        <v>97</v>
      </c>
      <c r="B52" s="3" t="n">
        <v>45383</v>
      </c>
      <c r="C52" s="2" t="s">
        <v>49</v>
      </c>
      <c r="D52" s="2" t="s">
        <v>30</v>
      </c>
      <c r="E52" s="2" t="s">
        <v>24</v>
      </c>
      <c r="F52" s="2" t="s">
        <v>25</v>
      </c>
      <c r="G52" s="2" t="s">
        <v>15</v>
      </c>
      <c r="H52" s="2" t="s">
        <v>16</v>
      </c>
      <c r="I52" s="2" t="s">
        <v>41</v>
      </c>
      <c r="J52" s="2" t="n">
        <v>0</v>
      </c>
    </row>
    <row r="53" customFormat="false" ht="15" hidden="false" customHeight="false" outlineLevel="0" collapsed="false">
      <c r="A53" s="2" t="s">
        <v>98</v>
      </c>
      <c r="B53" s="3" t="n">
        <v>45347</v>
      </c>
      <c r="C53" s="2" t="s">
        <v>43</v>
      </c>
      <c r="D53" s="2" t="s">
        <v>35</v>
      </c>
      <c r="E53" s="2" t="s">
        <v>31</v>
      </c>
      <c r="F53" s="2" t="s">
        <v>20</v>
      </c>
      <c r="G53" s="2" t="s">
        <v>21</v>
      </c>
      <c r="H53" s="2" t="s">
        <v>51</v>
      </c>
      <c r="I53" s="2" t="s">
        <v>36</v>
      </c>
      <c r="J53" s="2" t="n">
        <v>2</v>
      </c>
    </row>
    <row r="54" customFormat="false" ht="15" hidden="false" customHeight="false" outlineLevel="0" collapsed="false">
      <c r="A54" s="2" t="s">
        <v>99</v>
      </c>
      <c r="B54" s="3" t="n">
        <v>45311</v>
      </c>
      <c r="C54" s="2" t="s">
        <v>64</v>
      </c>
      <c r="D54" s="2" t="s">
        <v>55</v>
      </c>
      <c r="E54" s="2" t="s">
        <v>38</v>
      </c>
      <c r="F54" s="2" t="s">
        <v>25</v>
      </c>
      <c r="G54" s="2" t="s">
        <v>26</v>
      </c>
      <c r="H54" s="2" t="s">
        <v>16</v>
      </c>
      <c r="I54" s="2" t="s">
        <v>41</v>
      </c>
      <c r="J54" s="2" t="n">
        <v>3</v>
      </c>
    </row>
    <row r="55" customFormat="false" ht="15" hidden="false" customHeight="false" outlineLevel="0" collapsed="false">
      <c r="A55" s="2" t="s">
        <v>100</v>
      </c>
      <c r="B55" s="3" t="n">
        <v>45345</v>
      </c>
      <c r="C55" s="2" t="s">
        <v>11</v>
      </c>
      <c r="D55" s="2" t="s">
        <v>35</v>
      </c>
      <c r="E55" s="2" t="s">
        <v>31</v>
      </c>
      <c r="F55" s="2" t="s">
        <v>25</v>
      </c>
      <c r="G55" s="2" t="s">
        <v>15</v>
      </c>
      <c r="H55" s="2" t="s">
        <v>51</v>
      </c>
      <c r="I55" s="2" t="s">
        <v>41</v>
      </c>
      <c r="J55" s="2" t="n">
        <v>5</v>
      </c>
    </row>
    <row r="56" customFormat="false" ht="15" hidden="false" customHeight="false" outlineLevel="0" collapsed="false">
      <c r="A56" s="2" t="s">
        <v>101</v>
      </c>
      <c r="B56" s="3" t="n">
        <v>45433</v>
      </c>
      <c r="C56" s="2" t="s">
        <v>11</v>
      </c>
      <c r="D56" s="2" t="s">
        <v>12</v>
      </c>
      <c r="E56" s="2" t="s">
        <v>13</v>
      </c>
      <c r="F56" s="2" t="s">
        <v>14</v>
      </c>
      <c r="G56" s="2" t="s">
        <v>21</v>
      </c>
      <c r="H56" s="2" t="s">
        <v>16</v>
      </c>
      <c r="I56" s="2" t="s">
        <v>32</v>
      </c>
      <c r="J56" s="2" t="n">
        <v>4</v>
      </c>
    </row>
    <row r="57" customFormat="false" ht="15" hidden="false" customHeight="false" outlineLevel="0" collapsed="false">
      <c r="A57" s="2" t="s">
        <v>102</v>
      </c>
      <c r="B57" s="3" t="n">
        <v>45374</v>
      </c>
      <c r="C57" s="2" t="s">
        <v>34</v>
      </c>
      <c r="D57" s="2" t="s">
        <v>12</v>
      </c>
      <c r="E57" s="2" t="s">
        <v>59</v>
      </c>
      <c r="F57" s="2" t="s">
        <v>20</v>
      </c>
      <c r="G57" s="2" t="s">
        <v>26</v>
      </c>
      <c r="H57" s="2" t="s">
        <v>16</v>
      </c>
      <c r="I57" s="2" t="s">
        <v>41</v>
      </c>
      <c r="J57" s="2" t="n">
        <v>3</v>
      </c>
    </row>
    <row r="58" customFormat="false" ht="15" hidden="false" customHeight="false" outlineLevel="0" collapsed="false">
      <c r="A58" s="2" t="s">
        <v>103</v>
      </c>
      <c r="B58" s="3" t="n">
        <v>45433</v>
      </c>
      <c r="C58" s="2" t="s">
        <v>34</v>
      </c>
      <c r="D58" s="2" t="s">
        <v>12</v>
      </c>
      <c r="E58" s="2" t="s">
        <v>59</v>
      </c>
      <c r="F58" s="2" t="s">
        <v>25</v>
      </c>
      <c r="G58" s="2" t="s">
        <v>26</v>
      </c>
      <c r="H58" s="2" t="s">
        <v>40</v>
      </c>
      <c r="I58" s="2" t="s">
        <v>44</v>
      </c>
      <c r="J58" s="2" t="n">
        <v>5</v>
      </c>
    </row>
    <row r="59" customFormat="false" ht="15" hidden="false" customHeight="false" outlineLevel="0" collapsed="false">
      <c r="A59" s="2" t="s">
        <v>104</v>
      </c>
      <c r="B59" s="3" t="n">
        <v>45367</v>
      </c>
      <c r="C59" s="2" t="s">
        <v>11</v>
      </c>
      <c r="D59" s="2" t="s">
        <v>30</v>
      </c>
      <c r="E59" s="2" t="s">
        <v>13</v>
      </c>
      <c r="F59" s="2" t="s">
        <v>20</v>
      </c>
      <c r="G59" s="2" t="s">
        <v>46</v>
      </c>
      <c r="H59" s="2" t="s">
        <v>40</v>
      </c>
      <c r="I59" s="2" t="s">
        <v>32</v>
      </c>
      <c r="J59" s="2" t="n">
        <v>2</v>
      </c>
    </row>
    <row r="60" customFormat="false" ht="15" hidden="false" customHeight="false" outlineLevel="0" collapsed="false">
      <c r="A60" s="2" t="s">
        <v>105</v>
      </c>
      <c r="B60" s="3" t="n">
        <v>45317</v>
      </c>
      <c r="C60" s="2" t="s">
        <v>19</v>
      </c>
      <c r="D60" s="2" t="s">
        <v>30</v>
      </c>
      <c r="E60" s="2" t="s">
        <v>38</v>
      </c>
      <c r="F60" s="2" t="s">
        <v>20</v>
      </c>
      <c r="G60" s="2" t="s">
        <v>26</v>
      </c>
      <c r="H60" s="2" t="s">
        <v>27</v>
      </c>
      <c r="I60" s="2" t="s">
        <v>44</v>
      </c>
      <c r="J60" s="2" t="n">
        <v>4</v>
      </c>
    </row>
    <row r="61" customFormat="false" ht="15" hidden="false" customHeight="false" outlineLevel="0" collapsed="false">
      <c r="A61" s="2" t="s">
        <v>106</v>
      </c>
      <c r="B61" s="3" t="n">
        <v>45426</v>
      </c>
      <c r="C61" s="2" t="s">
        <v>29</v>
      </c>
      <c r="D61" s="2" t="s">
        <v>12</v>
      </c>
      <c r="E61" s="2" t="s">
        <v>38</v>
      </c>
      <c r="F61" s="2" t="s">
        <v>39</v>
      </c>
      <c r="G61" s="2" t="s">
        <v>15</v>
      </c>
      <c r="H61" s="2" t="s">
        <v>27</v>
      </c>
      <c r="I61" s="2" t="s">
        <v>41</v>
      </c>
      <c r="J61" s="2" t="n">
        <v>2</v>
      </c>
    </row>
    <row r="62" customFormat="false" ht="15" hidden="false" customHeight="false" outlineLevel="0" collapsed="false">
      <c r="A62" s="2" t="s">
        <v>107</v>
      </c>
      <c r="B62" s="3" t="n">
        <v>45423</v>
      </c>
      <c r="C62" s="2" t="s">
        <v>11</v>
      </c>
      <c r="D62" s="2" t="s">
        <v>35</v>
      </c>
      <c r="E62" s="2" t="s">
        <v>24</v>
      </c>
      <c r="F62" s="2" t="s">
        <v>20</v>
      </c>
      <c r="G62" s="2" t="s">
        <v>26</v>
      </c>
      <c r="H62" s="2" t="s">
        <v>27</v>
      </c>
      <c r="I62" s="2" t="s">
        <v>32</v>
      </c>
      <c r="J62" s="2" t="n">
        <v>5</v>
      </c>
    </row>
    <row r="63" customFormat="false" ht="15" hidden="false" customHeight="false" outlineLevel="0" collapsed="false">
      <c r="A63" s="2" t="s">
        <v>108</v>
      </c>
      <c r="B63" s="3" t="n">
        <v>45355</v>
      </c>
      <c r="C63" s="2" t="s">
        <v>19</v>
      </c>
      <c r="D63" s="2" t="s">
        <v>30</v>
      </c>
      <c r="E63" s="2" t="s">
        <v>50</v>
      </c>
      <c r="F63" s="2" t="s">
        <v>20</v>
      </c>
      <c r="G63" s="2" t="s">
        <v>21</v>
      </c>
      <c r="H63" s="2" t="s">
        <v>40</v>
      </c>
      <c r="I63" s="2" t="s">
        <v>44</v>
      </c>
      <c r="J63" s="2" t="n">
        <v>5</v>
      </c>
    </row>
    <row r="64" customFormat="false" ht="15" hidden="false" customHeight="false" outlineLevel="0" collapsed="false">
      <c r="A64" s="2" t="s">
        <v>109</v>
      </c>
      <c r="B64" s="3" t="n">
        <v>45453</v>
      </c>
      <c r="C64" s="2" t="s">
        <v>58</v>
      </c>
      <c r="D64" s="2" t="s">
        <v>35</v>
      </c>
      <c r="E64" s="2" t="s">
        <v>13</v>
      </c>
      <c r="F64" s="2" t="s">
        <v>14</v>
      </c>
      <c r="G64" s="2" t="s">
        <v>26</v>
      </c>
      <c r="H64" s="2" t="s">
        <v>51</v>
      </c>
      <c r="I64" s="2" t="s">
        <v>32</v>
      </c>
      <c r="J64" s="2" t="n">
        <v>1</v>
      </c>
    </row>
    <row r="65" customFormat="false" ht="15" hidden="false" customHeight="false" outlineLevel="0" collapsed="false">
      <c r="A65" s="2" t="s">
        <v>110</v>
      </c>
      <c r="B65" s="3" t="n">
        <v>45301</v>
      </c>
      <c r="C65" s="2" t="s">
        <v>64</v>
      </c>
      <c r="D65" s="2" t="s">
        <v>12</v>
      </c>
      <c r="E65" s="2" t="s">
        <v>59</v>
      </c>
      <c r="F65" s="2" t="s">
        <v>39</v>
      </c>
      <c r="G65" s="2" t="s">
        <v>26</v>
      </c>
      <c r="H65" s="2" t="s">
        <v>51</v>
      </c>
      <c r="I65" s="2" t="s">
        <v>44</v>
      </c>
      <c r="J65" s="2" t="n">
        <v>4</v>
      </c>
    </row>
    <row r="66" customFormat="false" ht="15" hidden="false" customHeight="false" outlineLevel="0" collapsed="false">
      <c r="A66" s="2" t="s">
        <v>111</v>
      </c>
      <c r="B66" s="3" t="n">
        <v>45360</v>
      </c>
      <c r="C66" s="2" t="s">
        <v>29</v>
      </c>
      <c r="D66" s="2" t="s">
        <v>55</v>
      </c>
      <c r="E66" s="2" t="s">
        <v>13</v>
      </c>
      <c r="F66" s="2" t="s">
        <v>25</v>
      </c>
      <c r="G66" s="2" t="s">
        <v>15</v>
      </c>
      <c r="H66" s="2" t="s">
        <v>40</v>
      </c>
      <c r="I66" s="2" t="s">
        <v>22</v>
      </c>
      <c r="J66" s="2" t="n">
        <v>1</v>
      </c>
    </row>
    <row r="67" customFormat="false" ht="15" hidden="false" customHeight="false" outlineLevel="0" collapsed="false">
      <c r="A67" s="2" t="s">
        <v>112</v>
      </c>
      <c r="B67" s="3" t="n">
        <v>45367</v>
      </c>
      <c r="C67" s="2" t="s">
        <v>49</v>
      </c>
      <c r="D67" s="2" t="s">
        <v>12</v>
      </c>
      <c r="E67" s="2" t="s">
        <v>50</v>
      </c>
      <c r="F67" s="2" t="s">
        <v>25</v>
      </c>
      <c r="G67" s="2" t="s">
        <v>46</v>
      </c>
      <c r="H67" s="2" t="s">
        <v>40</v>
      </c>
      <c r="I67" s="2" t="s">
        <v>17</v>
      </c>
      <c r="J67" s="2" t="n">
        <v>2</v>
      </c>
    </row>
    <row r="68" customFormat="false" ht="15" hidden="false" customHeight="false" outlineLevel="0" collapsed="false">
      <c r="A68" s="2" t="s">
        <v>113</v>
      </c>
      <c r="B68" s="3" t="n">
        <v>45337</v>
      </c>
      <c r="C68" s="2" t="s">
        <v>34</v>
      </c>
      <c r="D68" s="2" t="s">
        <v>30</v>
      </c>
      <c r="E68" s="2" t="s">
        <v>24</v>
      </c>
      <c r="F68" s="2" t="s">
        <v>14</v>
      </c>
      <c r="G68" s="2" t="s">
        <v>46</v>
      </c>
      <c r="H68" s="2" t="s">
        <v>27</v>
      </c>
      <c r="I68" s="2" t="s">
        <v>44</v>
      </c>
      <c r="J68" s="2" t="n">
        <v>1</v>
      </c>
    </row>
    <row r="69" customFormat="false" ht="15" hidden="false" customHeight="false" outlineLevel="0" collapsed="false">
      <c r="A69" s="2" t="s">
        <v>114</v>
      </c>
      <c r="B69" s="3" t="n">
        <v>45417</v>
      </c>
      <c r="C69" s="2" t="s">
        <v>34</v>
      </c>
      <c r="D69" s="2" t="s">
        <v>12</v>
      </c>
      <c r="E69" s="2" t="s">
        <v>24</v>
      </c>
      <c r="F69" s="2" t="s">
        <v>25</v>
      </c>
      <c r="G69" s="2" t="s">
        <v>21</v>
      </c>
      <c r="H69" s="2" t="s">
        <v>16</v>
      </c>
      <c r="I69" s="2" t="s">
        <v>41</v>
      </c>
      <c r="J69" s="2" t="n">
        <v>3</v>
      </c>
    </row>
    <row r="70" customFormat="false" ht="15" hidden="false" customHeight="false" outlineLevel="0" collapsed="false">
      <c r="A70" s="2" t="s">
        <v>115</v>
      </c>
      <c r="B70" s="3" t="n">
        <v>45408</v>
      </c>
      <c r="C70" s="2" t="s">
        <v>19</v>
      </c>
      <c r="D70" s="2" t="s">
        <v>35</v>
      </c>
      <c r="E70" s="2" t="s">
        <v>50</v>
      </c>
      <c r="F70" s="2" t="s">
        <v>39</v>
      </c>
      <c r="G70" s="2" t="s">
        <v>26</v>
      </c>
      <c r="H70" s="2" t="s">
        <v>16</v>
      </c>
      <c r="I70" s="2" t="s">
        <v>17</v>
      </c>
      <c r="J70" s="2" t="n">
        <v>0</v>
      </c>
    </row>
    <row r="71" customFormat="false" ht="15" hidden="false" customHeight="false" outlineLevel="0" collapsed="false">
      <c r="A71" s="2" t="s">
        <v>116</v>
      </c>
      <c r="B71" s="3" t="n">
        <v>45302</v>
      </c>
      <c r="C71" s="2" t="s">
        <v>64</v>
      </c>
      <c r="D71" s="2" t="s">
        <v>35</v>
      </c>
      <c r="E71" s="2" t="s">
        <v>24</v>
      </c>
      <c r="F71" s="2" t="s">
        <v>20</v>
      </c>
      <c r="G71" s="2" t="s">
        <v>21</v>
      </c>
      <c r="H71" s="2" t="s">
        <v>40</v>
      </c>
      <c r="I71" s="2" t="s">
        <v>44</v>
      </c>
      <c r="J71" s="2" t="n">
        <v>4</v>
      </c>
    </row>
    <row r="72" customFormat="false" ht="15" hidden="false" customHeight="false" outlineLevel="0" collapsed="false">
      <c r="A72" s="2" t="s">
        <v>117</v>
      </c>
      <c r="B72" s="3" t="n">
        <v>45430</v>
      </c>
      <c r="C72" s="2" t="s">
        <v>58</v>
      </c>
      <c r="D72" s="2" t="s">
        <v>53</v>
      </c>
      <c r="E72" s="2" t="s">
        <v>38</v>
      </c>
      <c r="F72" s="2" t="s">
        <v>14</v>
      </c>
      <c r="G72" s="2" t="s">
        <v>15</v>
      </c>
      <c r="H72" s="2" t="s">
        <v>40</v>
      </c>
      <c r="I72" s="2" t="s">
        <v>17</v>
      </c>
      <c r="J72" s="2" t="n">
        <v>2</v>
      </c>
    </row>
    <row r="73" customFormat="false" ht="15" hidden="false" customHeight="false" outlineLevel="0" collapsed="false">
      <c r="A73" s="2" t="s">
        <v>118</v>
      </c>
      <c r="B73" s="3" t="n">
        <v>45448</v>
      </c>
      <c r="C73" s="2" t="s">
        <v>19</v>
      </c>
      <c r="D73" s="2" t="s">
        <v>35</v>
      </c>
      <c r="E73" s="2" t="s">
        <v>59</v>
      </c>
      <c r="F73" s="2" t="s">
        <v>39</v>
      </c>
      <c r="G73" s="2" t="s">
        <v>15</v>
      </c>
      <c r="H73" s="2" t="s">
        <v>51</v>
      </c>
      <c r="I73" s="2" t="s">
        <v>41</v>
      </c>
      <c r="J73" s="2" t="n">
        <v>4</v>
      </c>
    </row>
    <row r="74" customFormat="false" ht="15" hidden="false" customHeight="false" outlineLevel="0" collapsed="false">
      <c r="A74" s="2" t="s">
        <v>119</v>
      </c>
      <c r="B74" s="3" t="n">
        <v>45352</v>
      </c>
      <c r="C74" s="2" t="s">
        <v>34</v>
      </c>
      <c r="D74" s="2" t="s">
        <v>35</v>
      </c>
      <c r="E74" s="2" t="s">
        <v>50</v>
      </c>
      <c r="F74" s="2" t="s">
        <v>25</v>
      </c>
      <c r="G74" s="2" t="s">
        <v>15</v>
      </c>
      <c r="H74" s="2" t="s">
        <v>40</v>
      </c>
      <c r="I74" s="2" t="s">
        <v>36</v>
      </c>
      <c r="J74" s="2" t="n">
        <v>1</v>
      </c>
    </row>
    <row r="75" customFormat="false" ht="15" hidden="false" customHeight="false" outlineLevel="0" collapsed="false">
      <c r="A75" s="2" t="s">
        <v>120</v>
      </c>
      <c r="B75" s="3" t="n">
        <v>45460</v>
      </c>
      <c r="C75" s="2" t="s">
        <v>34</v>
      </c>
      <c r="D75" s="2" t="s">
        <v>35</v>
      </c>
      <c r="E75" s="2" t="s">
        <v>38</v>
      </c>
      <c r="F75" s="2" t="s">
        <v>14</v>
      </c>
      <c r="G75" s="2" t="s">
        <v>46</v>
      </c>
      <c r="H75" s="2" t="s">
        <v>27</v>
      </c>
      <c r="I75" s="2" t="s">
        <v>41</v>
      </c>
      <c r="J75" s="2" t="n">
        <v>3</v>
      </c>
    </row>
    <row r="76" customFormat="false" ht="15" hidden="false" customHeight="false" outlineLevel="0" collapsed="false">
      <c r="A76" s="2" t="s">
        <v>121</v>
      </c>
      <c r="B76" s="3" t="n">
        <v>45399</v>
      </c>
      <c r="C76" s="2" t="s">
        <v>64</v>
      </c>
      <c r="D76" s="2" t="s">
        <v>55</v>
      </c>
      <c r="E76" s="2" t="s">
        <v>59</v>
      </c>
      <c r="F76" s="2" t="s">
        <v>39</v>
      </c>
      <c r="G76" s="2" t="s">
        <v>21</v>
      </c>
      <c r="H76" s="2" t="s">
        <v>16</v>
      </c>
      <c r="I76" s="2" t="s">
        <v>22</v>
      </c>
      <c r="J76" s="2" t="n">
        <v>4</v>
      </c>
    </row>
    <row r="77" customFormat="false" ht="15" hidden="false" customHeight="false" outlineLevel="0" collapsed="false">
      <c r="A77" s="2" t="s">
        <v>122</v>
      </c>
      <c r="B77" s="3" t="n">
        <v>45437</v>
      </c>
      <c r="C77" s="2" t="s">
        <v>34</v>
      </c>
      <c r="D77" s="2" t="s">
        <v>53</v>
      </c>
      <c r="E77" s="2" t="s">
        <v>31</v>
      </c>
      <c r="F77" s="2" t="s">
        <v>39</v>
      </c>
      <c r="G77" s="2" t="s">
        <v>15</v>
      </c>
      <c r="H77" s="2" t="s">
        <v>27</v>
      </c>
      <c r="I77" s="2" t="s">
        <v>36</v>
      </c>
      <c r="J77" s="2" t="n">
        <v>4</v>
      </c>
    </row>
    <row r="78" customFormat="false" ht="15" hidden="false" customHeight="false" outlineLevel="0" collapsed="false">
      <c r="A78" s="2" t="s">
        <v>123</v>
      </c>
      <c r="B78" s="3" t="n">
        <v>45330</v>
      </c>
      <c r="C78" s="2" t="s">
        <v>58</v>
      </c>
      <c r="D78" s="2" t="s">
        <v>53</v>
      </c>
      <c r="E78" s="2" t="s">
        <v>31</v>
      </c>
      <c r="F78" s="2" t="s">
        <v>14</v>
      </c>
      <c r="G78" s="2" t="s">
        <v>26</v>
      </c>
      <c r="H78" s="2" t="s">
        <v>40</v>
      </c>
      <c r="I78" s="2" t="s">
        <v>32</v>
      </c>
      <c r="J78" s="2" t="n">
        <v>2</v>
      </c>
    </row>
    <row r="79" customFormat="false" ht="15" hidden="false" customHeight="false" outlineLevel="0" collapsed="false">
      <c r="A79" s="2" t="s">
        <v>124</v>
      </c>
      <c r="B79" s="3" t="n">
        <v>45382</v>
      </c>
      <c r="C79" s="2" t="s">
        <v>58</v>
      </c>
      <c r="D79" s="2" t="s">
        <v>55</v>
      </c>
      <c r="E79" s="2" t="s">
        <v>38</v>
      </c>
      <c r="F79" s="2" t="s">
        <v>14</v>
      </c>
      <c r="G79" s="2" t="s">
        <v>21</v>
      </c>
      <c r="H79" s="2" t="s">
        <v>27</v>
      </c>
      <c r="I79" s="2" t="s">
        <v>17</v>
      </c>
      <c r="J79" s="2" t="n">
        <v>0</v>
      </c>
    </row>
    <row r="80" customFormat="false" ht="15" hidden="false" customHeight="false" outlineLevel="0" collapsed="false">
      <c r="A80" s="2" t="s">
        <v>125</v>
      </c>
      <c r="B80" s="3" t="n">
        <v>45329</v>
      </c>
      <c r="C80" s="2" t="s">
        <v>19</v>
      </c>
      <c r="D80" s="2" t="s">
        <v>30</v>
      </c>
      <c r="E80" s="2" t="s">
        <v>59</v>
      </c>
      <c r="F80" s="2" t="s">
        <v>14</v>
      </c>
      <c r="G80" s="2" t="s">
        <v>46</v>
      </c>
      <c r="H80" s="2" t="s">
        <v>40</v>
      </c>
      <c r="I80" s="2" t="s">
        <v>17</v>
      </c>
      <c r="J80" s="2" t="n">
        <v>5</v>
      </c>
    </row>
    <row r="81" customFormat="false" ht="15" hidden="false" customHeight="false" outlineLevel="0" collapsed="false">
      <c r="A81" s="2" t="s">
        <v>126</v>
      </c>
      <c r="B81" s="3" t="n">
        <v>45375</v>
      </c>
      <c r="C81" s="2" t="s">
        <v>49</v>
      </c>
      <c r="D81" s="2" t="s">
        <v>12</v>
      </c>
      <c r="E81" s="2" t="s">
        <v>13</v>
      </c>
      <c r="F81" s="2" t="s">
        <v>39</v>
      </c>
      <c r="G81" s="2" t="s">
        <v>15</v>
      </c>
      <c r="H81" s="2" t="s">
        <v>40</v>
      </c>
      <c r="I81" s="2" t="s">
        <v>22</v>
      </c>
      <c r="J81" s="2" t="n">
        <v>4</v>
      </c>
    </row>
    <row r="82" customFormat="false" ht="15" hidden="false" customHeight="false" outlineLevel="0" collapsed="false">
      <c r="A82" s="2" t="s">
        <v>127</v>
      </c>
      <c r="B82" s="3" t="n">
        <v>45320</v>
      </c>
      <c r="C82" s="2" t="s">
        <v>43</v>
      </c>
      <c r="D82" s="2" t="s">
        <v>30</v>
      </c>
      <c r="E82" s="2" t="s">
        <v>38</v>
      </c>
      <c r="F82" s="2" t="s">
        <v>14</v>
      </c>
      <c r="G82" s="2" t="s">
        <v>15</v>
      </c>
      <c r="H82" s="2" t="s">
        <v>51</v>
      </c>
      <c r="I82" s="2" t="s">
        <v>22</v>
      </c>
      <c r="J82" s="2" t="n">
        <v>0</v>
      </c>
    </row>
    <row r="83" customFormat="false" ht="15" hidden="false" customHeight="false" outlineLevel="0" collapsed="false">
      <c r="A83" s="2" t="s">
        <v>128</v>
      </c>
      <c r="B83" s="3" t="n">
        <v>45404</v>
      </c>
      <c r="C83" s="2" t="s">
        <v>49</v>
      </c>
      <c r="D83" s="2" t="s">
        <v>30</v>
      </c>
      <c r="E83" s="2" t="s">
        <v>59</v>
      </c>
      <c r="F83" s="2" t="s">
        <v>25</v>
      </c>
      <c r="G83" s="2" t="s">
        <v>46</v>
      </c>
      <c r="H83" s="2" t="s">
        <v>27</v>
      </c>
      <c r="I83" s="2" t="s">
        <v>17</v>
      </c>
      <c r="J83" s="2" t="n">
        <v>3</v>
      </c>
    </row>
    <row r="84" customFormat="false" ht="15" hidden="false" customHeight="false" outlineLevel="0" collapsed="false">
      <c r="A84" s="2" t="s">
        <v>129</v>
      </c>
      <c r="B84" s="3" t="n">
        <v>45424</v>
      </c>
      <c r="C84" s="2" t="s">
        <v>19</v>
      </c>
      <c r="D84" s="2" t="s">
        <v>53</v>
      </c>
      <c r="E84" s="2" t="s">
        <v>50</v>
      </c>
      <c r="F84" s="2" t="s">
        <v>25</v>
      </c>
      <c r="G84" s="2" t="s">
        <v>21</v>
      </c>
      <c r="H84" s="2" t="s">
        <v>16</v>
      </c>
      <c r="I84" s="2" t="s">
        <v>36</v>
      </c>
      <c r="J84" s="2" t="n">
        <v>4</v>
      </c>
    </row>
    <row r="85" customFormat="false" ht="15" hidden="false" customHeight="false" outlineLevel="0" collapsed="false">
      <c r="A85" s="2" t="s">
        <v>130</v>
      </c>
      <c r="B85" s="3" t="n">
        <v>45319</v>
      </c>
      <c r="C85" s="2" t="s">
        <v>29</v>
      </c>
      <c r="D85" s="2" t="s">
        <v>12</v>
      </c>
      <c r="E85" s="2" t="s">
        <v>50</v>
      </c>
      <c r="F85" s="2" t="s">
        <v>39</v>
      </c>
      <c r="G85" s="2" t="s">
        <v>26</v>
      </c>
      <c r="H85" s="2" t="s">
        <v>51</v>
      </c>
      <c r="I85" s="2" t="s">
        <v>32</v>
      </c>
      <c r="J85" s="2" t="n">
        <v>2</v>
      </c>
    </row>
    <row r="86" customFormat="false" ht="15" hidden="false" customHeight="false" outlineLevel="0" collapsed="false">
      <c r="A86" s="2" t="s">
        <v>131</v>
      </c>
      <c r="B86" s="3" t="n">
        <v>45308</v>
      </c>
      <c r="C86" s="2" t="s">
        <v>43</v>
      </c>
      <c r="D86" s="2" t="s">
        <v>35</v>
      </c>
      <c r="E86" s="2" t="s">
        <v>31</v>
      </c>
      <c r="F86" s="2" t="s">
        <v>20</v>
      </c>
      <c r="G86" s="2" t="s">
        <v>46</v>
      </c>
      <c r="H86" s="2" t="s">
        <v>51</v>
      </c>
      <c r="I86" s="2" t="s">
        <v>44</v>
      </c>
      <c r="J86" s="2" t="n">
        <v>3</v>
      </c>
    </row>
    <row r="87" customFormat="false" ht="15" hidden="false" customHeight="false" outlineLevel="0" collapsed="false">
      <c r="A87" s="2" t="s">
        <v>132</v>
      </c>
      <c r="B87" s="3" t="n">
        <v>45302</v>
      </c>
      <c r="C87" s="2" t="s">
        <v>64</v>
      </c>
      <c r="D87" s="2" t="s">
        <v>35</v>
      </c>
      <c r="E87" s="2" t="s">
        <v>38</v>
      </c>
      <c r="F87" s="2" t="s">
        <v>14</v>
      </c>
      <c r="G87" s="2" t="s">
        <v>15</v>
      </c>
      <c r="H87" s="2" t="s">
        <v>51</v>
      </c>
      <c r="I87" s="2" t="s">
        <v>41</v>
      </c>
      <c r="J87" s="2" t="n">
        <v>2</v>
      </c>
    </row>
    <row r="88" customFormat="false" ht="15" hidden="false" customHeight="false" outlineLevel="0" collapsed="false">
      <c r="A88" s="2" t="s">
        <v>133</v>
      </c>
      <c r="B88" s="3" t="n">
        <v>45457</v>
      </c>
      <c r="C88" s="2" t="s">
        <v>49</v>
      </c>
      <c r="D88" s="2" t="s">
        <v>35</v>
      </c>
      <c r="E88" s="2" t="s">
        <v>50</v>
      </c>
      <c r="F88" s="2" t="s">
        <v>25</v>
      </c>
      <c r="G88" s="2" t="s">
        <v>46</v>
      </c>
      <c r="H88" s="2" t="s">
        <v>16</v>
      </c>
      <c r="I88" s="2" t="s">
        <v>32</v>
      </c>
      <c r="J88" s="2" t="n">
        <v>1</v>
      </c>
    </row>
    <row r="89" customFormat="false" ht="15" hidden="false" customHeight="false" outlineLevel="0" collapsed="false">
      <c r="A89" s="2" t="s">
        <v>134</v>
      </c>
      <c r="B89" s="3" t="n">
        <v>45373</v>
      </c>
      <c r="C89" s="2" t="s">
        <v>11</v>
      </c>
      <c r="D89" s="2" t="s">
        <v>53</v>
      </c>
      <c r="E89" s="2" t="s">
        <v>24</v>
      </c>
      <c r="F89" s="2" t="s">
        <v>25</v>
      </c>
      <c r="G89" s="2" t="s">
        <v>15</v>
      </c>
      <c r="H89" s="2" t="s">
        <v>16</v>
      </c>
      <c r="I89" s="2" t="s">
        <v>36</v>
      </c>
      <c r="J89" s="2" t="n">
        <v>2</v>
      </c>
    </row>
    <row r="90" customFormat="false" ht="15" hidden="false" customHeight="false" outlineLevel="0" collapsed="false">
      <c r="A90" s="2" t="s">
        <v>135</v>
      </c>
      <c r="B90" s="3" t="n">
        <v>45445</v>
      </c>
      <c r="C90" s="2" t="s">
        <v>58</v>
      </c>
      <c r="D90" s="2" t="s">
        <v>53</v>
      </c>
      <c r="E90" s="2" t="s">
        <v>13</v>
      </c>
      <c r="F90" s="2" t="s">
        <v>20</v>
      </c>
      <c r="G90" s="2" t="s">
        <v>15</v>
      </c>
      <c r="H90" s="2" t="s">
        <v>40</v>
      </c>
      <c r="I90" s="2" t="s">
        <v>44</v>
      </c>
      <c r="J90" s="2" t="n">
        <v>0</v>
      </c>
    </row>
    <row r="91" customFormat="false" ht="15" hidden="false" customHeight="false" outlineLevel="0" collapsed="false">
      <c r="A91" s="2" t="s">
        <v>136</v>
      </c>
      <c r="B91" s="3" t="n">
        <v>45294</v>
      </c>
      <c r="C91" s="2" t="s">
        <v>19</v>
      </c>
      <c r="D91" s="2" t="s">
        <v>30</v>
      </c>
      <c r="E91" s="2" t="s">
        <v>38</v>
      </c>
      <c r="F91" s="2" t="s">
        <v>14</v>
      </c>
      <c r="G91" s="2" t="s">
        <v>15</v>
      </c>
      <c r="H91" s="2" t="s">
        <v>51</v>
      </c>
      <c r="I91" s="2" t="s">
        <v>17</v>
      </c>
      <c r="J91" s="2" t="n">
        <v>1</v>
      </c>
    </row>
    <row r="92" customFormat="false" ht="15" hidden="false" customHeight="false" outlineLevel="0" collapsed="false">
      <c r="A92" s="2" t="s">
        <v>137</v>
      </c>
      <c r="B92" s="3" t="n">
        <v>45458</v>
      </c>
      <c r="C92" s="2" t="s">
        <v>64</v>
      </c>
      <c r="D92" s="2" t="s">
        <v>55</v>
      </c>
      <c r="E92" s="2" t="s">
        <v>13</v>
      </c>
      <c r="F92" s="2" t="s">
        <v>20</v>
      </c>
      <c r="G92" s="2" t="s">
        <v>26</v>
      </c>
      <c r="H92" s="2" t="s">
        <v>27</v>
      </c>
      <c r="I92" s="2" t="s">
        <v>44</v>
      </c>
      <c r="J92" s="2" t="n">
        <v>4</v>
      </c>
    </row>
    <row r="93" customFormat="false" ht="15" hidden="false" customHeight="false" outlineLevel="0" collapsed="false">
      <c r="A93" s="2" t="s">
        <v>138</v>
      </c>
      <c r="B93" s="3" t="n">
        <v>45369</v>
      </c>
      <c r="C93" s="2" t="s">
        <v>11</v>
      </c>
      <c r="D93" s="2" t="s">
        <v>30</v>
      </c>
      <c r="E93" s="2" t="s">
        <v>59</v>
      </c>
      <c r="F93" s="2" t="s">
        <v>14</v>
      </c>
      <c r="G93" s="2" t="s">
        <v>21</v>
      </c>
      <c r="H93" s="2" t="s">
        <v>27</v>
      </c>
      <c r="I93" s="2" t="s">
        <v>22</v>
      </c>
      <c r="J93" s="2" t="n">
        <v>1</v>
      </c>
    </row>
    <row r="94" customFormat="false" ht="15" hidden="false" customHeight="false" outlineLevel="0" collapsed="false">
      <c r="A94" s="2" t="s">
        <v>139</v>
      </c>
      <c r="B94" s="3" t="n">
        <v>45389</v>
      </c>
      <c r="C94" s="2" t="s">
        <v>29</v>
      </c>
      <c r="D94" s="2" t="s">
        <v>55</v>
      </c>
      <c r="E94" s="2" t="s">
        <v>50</v>
      </c>
      <c r="F94" s="2" t="s">
        <v>20</v>
      </c>
      <c r="G94" s="2" t="s">
        <v>46</v>
      </c>
      <c r="H94" s="2" t="s">
        <v>51</v>
      </c>
      <c r="I94" s="2" t="s">
        <v>22</v>
      </c>
      <c r="J94" s="2" t="n">
        <v>5</v>
      </c>
    </row>
    <row r="95" customFormat="false" ht="15" hidden="false" customHeight="false" outlineLevel="0" collapsed="false">
      <c r="A95" s="2" t="s">
        <v>140</v>
      </c>
      <c r="B95" s="3" t="n">
        <v>45456</v>
      </c>
      <c r="C95" s="2" t="s">
        <v>64</v>
      </c>
      <c r="D95" s="2" t="s">
        <v>35</v>
      </c>
      <c r="E95" s="2" t="s">
        <v>24</v>
      </c>
      <c r="F95" s="2" t="s">
        <v>14</v>
      </c>
      <c r="G95" s="2" t="s">
        <v>21</v>
      </c>
      <c r="H95" s="2" t="s">
        <v>27</v>
      </c>
      <c r="I95" s="2" t="s">
        <v>22</v>
      </c>
      <c r="J95" s="2" t="n">
        <v>0</v>
      </c>
    </row>
    <row r="96" customFormat="false" ht="15" hidden="false" customHeight="false" outlineLevel="0" collapsed="false">
      <c r="A96" s="2" t="s">
        <v>141</v>
      </c>
      <c r="B96" s="3" t="n">
        <v>45342</v>
      </c>
      <c r="C96" s="2" t="s">
        <v>19</v>
      </c>
      <c r="D96" s="2" t="s">
        <v>30</v>
      </c>
      <c r="E96" s="2" t="s">
        <v>24</v>
      </c>
      <c r="F96" s="2" t="s">
        <v>14</v>
      </c>
      <c r="G96" s="2" t="s">
        <v>21</v>
      </c>
      <c r="H96" s="2" t="s">
        <v>40</v>
      </c>
      <c r="I96" s="2" t="s">
        <v>41</v>
      </c>
      <c r="J96" s="2" t="n">
        <v>3</v>
      </c>
    </row>
    <row r="97" customFormat="false" ht="15" hidden="false" customHeight="false" outlineLevel="0" collapsed="false">
      <c r="A97" s="2" t="s">
        <v>142</v>
      </c>
      <c r="B97" s="3" t="n">
        <v>45313</v>
      </c>
      <c r="C97" s="2" t="s">
        <v>34</v>
      </c>
      <c r="D97" s="2" t="s">
        <v>35</v>
      </c>
      <c r="E97" s="2" t="s">
        <v>38</v>
      </c>
      <c r="F97" s="2" t="s">
        <v>14</v>
      </c>
      <c r="G97" s="2" t="s">
        <v>26</v>
      </c>
      <c r="H97" s="2" t="s">
        <v>40</v>
      </c>
      <c r="I97" s="2" t="s">
        <v>41</v>
      </c>
      <c r="J97" s="2" t="n">
        <v>5</v>
      </c>
    </row>
    <row r="98" customFormat="false" ht="15" hidden="false" customHeight="false" outlineLevel="0" collapsed="false">
      <c r="A98" s="2" t="s">
        <v>143</v>
      </c>
      <c r="B98" s="3" t="n">
        <v>45403</v>
      </c>
      <c r="C98" s="2" t="s">
        <v>43</v>
      </c>
      <c r="D98" s="2" t="s">
        <v>53</v>
      </c>
      <c r="E98" s="2" t="s">
        <v>31</v>
      </c>
      <c r="F98" s="2" t="s">
        <v>25</v>
      </c>
      <c r="G98" s="2" t="s">
        <v>21</v>
      </c>
      <c r="H98" s="2" t="s">
        <v>27</v>
      </c>
      <c r="I98" s="2" t="s">
        <v>41</v>
      </c>
      <c r="J98" s="2" t="n">
        <v>3</v>
      </c>
    </row>
    <row r="99" customFormat="false" ht="15" hidden="false" customHeight="false" outlineLevel="0" collapsed="false">
      <c r="A99" s="2" t="s">
        <v>144</v>
      </c>
      <c r="B99" s="3" t="n">
        <v>45390</v>
      </c>
      <c r="C99" s="2" t="s">
        <v>43</v>
      </c>
      <c r="D99" s="2" t="s">
        <v>55</v>
      </c>
      <c r="E99" s="2" t="s">
        <v>50</v>
      </c>
      <c r="F99" s="2" t="s">
        <v>25</v>
      </c>
      <c r="G99" s="2" t="s">
        <v>46</v>
      </c>
      <c r="H99" s="2" t="s">
        <v>51</v>
      </c>
      <c r="I99" s="2" t="s">
        <v>44</v>
      </c>
      <c r="J99" s="2" t="n">
        <v>0</v>
      </c>
    </row>
    <row r="100" customFormat="false" ht="15" hidden="false" customHeight="false" outlineLevel="0" collapsed="false">
      <c r="A100" s="2" t="s">
        <v>145</v>
      </c>
      <c r="B100" s="3" t="n">
        <v>45464</v>
      </c>
      <c r="C100" s="2" t="s">
        <v>64</v>
      </c>
      <c r="D100" s="2" t="s">
        <v>12</v>
      </c>
      <c r="E100" s="2" t="s">
        <v>13</v>
      </c>
      <c r="F100" s="2" t="s">
        <v>14</v>
      </c>
      <c r="G100" s="2" t="s">
        <v>46</v>
      </c>
      <c r="H100" s="2" t="s">
        <v>40</v>
      </c>
      <c r="I100" s="2" t="s">
        <v>41</v>
      </c>
      <c r="J100" s="2" t="n">
        <v>4</v>
      </c>
    </row>
    <row r="101" customFormat="false" ht="15" hidden="false" customHeight="false" outlineLevel="0" collapsed="false">
      <c r="A101" s="2" t="s">
        <v>146</v>
      </c>
      <c r="B101" s="3" t="n">
        <v>45421</v>
      </c>
      <c r="C101" s="2" t="s">
        <v>19</v>
      </c>
      <c r="D101" s="2" t="s">
        <v>12</v>
      </c>
      <c r="E101" s="2" t="s">
        <v>59</v>
      </c>
      <c r="F101" s="2" t="s">
        <v>25</v>
      </c>
      <c r="G101" s="2" t="s">
        <v>21</v>
      </c>
      <c r="H101" s="2" t="s">
        <v>16</v>
      </c>
      <c r="I101" s="2" t="s">
        <v>22</v>
      </c>
      <c r="J101" s="2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2.05" hidden="false" customHeight="false" outlineLevel="0" collapsed="false">
      <c r="A1" s="4" t="s">
        <v>147</v>
      </c>
      <c r="B1" s="4"/>
      <c r="C1" s="4"/>
      <c r="D1" s="4"/>
      <c r="E1" s="4"/>
      <c r="F1" s="4"/>
      <c r="G1" s="4"/>
      <c r="H1" s="4"/>
    </row>
    <row r="2" customFormat="false" ht="15" hidden="false" customHeight="false" outlineLevel="0" collapsed="false">
      <c r="A2" s="5" t="s">
        <v>148</v>
      </c>
      <c r="B2" s="5"/>
      <c r="C2" s="5"/>
      <c r="D2" s="5"/>
      <c r="E2" s="5"/>
      <c r="F2" s="5"/>
      <c r="G2" s="5"/>
      <c r="H2" s="5"/>
    </row>
    <row r="4" customFormat="false" ht="15" hidden="false" customHeight="false" outlineLevel="0" collapsed="false">
      <c r="A4" s="6" t="s">
        <v>149</v>
      </c>
      <c r="E4" s="6" t="s">
        <v>150</v>
      </c>
    </row>
    <row r="5" customFormat="false" ht="15" hidden="false" customHeight="false" outlineLevel="0" collapsed="false">
      <c r="A5" s="7" t="s">
        <v>2</v>
      </c>
      <c r="B5" s="7" t="s">
        <v>151</v>
      </c>
      <c r="C5" s="7" t="s">
        <v>152</v>
      </c>
      <c r="E5" s="7" t="s">
        <v>7</v>
      </c>
      <c r="F5" s="7" t="s">
        <v>153</v>
      </c>
    </row>
    <row r="6" customFormat="false" ht="15" hidden="false" customHeight="false" outlineLevel="0" collapsed="false">
      <c r="A6" s="0" t="s">
        <v>11</v>
      </c>
      <c r="B6" s="0" t="n">
        <f aca="false">COUNTIF(Accident_Data!$C$2:$C$101,A6)</f>
        <v>17</v>
      </c>
      <c r="C6" s="0" t="n">
        <f aca="false">SUMIF(Accident_Data!$C$2:$C$101,A6,Accident_Data!$J$2:$J$101)</f>
        <v>49</v>
      </c>
      <c r="E6" s="0" t="s">
        <v>40</v>
      </c>
      <c r="F6" s="0" t="n">
        <f aca="false">COUNTIF(Accident_Data!$H$2:$H$101,E6)</f>
        <v>26</v>
      </c>
    </row>
    <row r="7" customFormat="false" ht="15" hidden="false" customHeight="false" outlineLevel="0" collapsed="false">
      <c r="A7" s="0" t="s">
        <v>19</v>
      </c>
      <c r="B7" s="0" t="n">
        <f aca="false">COUNTIF(Accident_Data!$C$2:$C$101,A7)</f>
        <v>16</v>
      </c>
      <c r="C7" s="0" t="n">
        <f aca="false">SUMIF(Accident_Data!$C$2:$C$101,A7,Accident_Data!$J$2:$J$101)</f>
        <v>41</v>
      </c>
      <c r="E7" s="0" t="s">
        <v>16</v>
      </c>
      <c r="F7" s="0" t="n">
        <f aca="false">COUNTIF(Accident_Data!$H$2:$H$101,E7)</f>
        <v>23</v>
      </c>
    </row>
    <row r="8" customFormat="false" ht="15" hidden="false" customHeight="false" outlineLevel="0" collapsed="false">
      <c r="A8" s="0" t="s">
        <v>29</v>
      </c>
      <c r="B8" s="0" t="n">
        <f aca="false">COUNTIF(Accident_Data!$C$2:$C$101,A8)</f>
        <v>11</v>
      </c>
      <c r="C8" s="0" t="n">
        <f aca="false">SUMIF(Accident_Data!$C$2:$C$101,A8,Accident_Data!$J$2:$J$101)</f>
        <v>22</v>
      </c>
      <c r="E8" s="0" t="s">
        <v>51</v>
      </c>
      <c r="F8" s="0" t="n">
        <f aca="false">COUNTIF(Accident_Data!$H$2:$H$101,E8)</f>
        <v>27</v>
      </c>
    </row>
    <row r="9" customFormat="false" ht="15" hidden="false" customHeight="false" outlineLevel="0" collapsed="false">
      <c r="A9" s="0" t="s">
        <v>34</v>
      </c>
      <c r="B9" s="0" t="n">
        <f aca="false">COUNTIF(Accident_Data!$C$2:$C$101,A9)</f>
        <v>14</v>
      </c>
      <c r="C9" s="0" t="n">
        <f aca="false">SUMIF(Accident_Data!$C$2:$C$101,A9,Accident_Data!$J$2:$J$101)</f>
        <v>34</v>
      </c>
      <c r="E9" s="0" t="s">
        <v>27</v>
      </c>
      <c r="F9" s="0" t="n">
        <f aca="false">COUNTIF(Accident_Data!$H$2:$H$101,E9)</f>
        <v>24</v>
      </c>
    </row>
    <row r="10" customFormat="false" ht="15" hidden="false" customHeight="false" outlineLevel="0" collapsed="false">
      <c r="A10" s="0" t="s">
        <v>43</v>
      </c>
      <c r="B10" s="0" t="n">
        <f aca="false">COUNTIF(Accident_Data!$C$2:$C$101,A10)</f>
        <v>9</v>
      </c>
      <c r="C10" s="0" t="n">
        <f aca="false">SUMIF(Accident_Data!$C$2:$C$101,A10,Accident_Data!$J$2:$J$101)</f>
        <v>20</v>
      </c>
    </row>
    <row r="11" customFormat="false" ht="15" hidden="false" customHeight="false" outlineLevel="0" collapsed="false">
      <c r="A11" s="0" t="s">
        <v>58</v>
      </c>
      <c r="B11" s="0" t="n">
        <f aca="false">COUNTIF(Accident_Data!$C$2:$C$101,A11)</f>
        <v>12</v>
      </c>
      <c r="C11" s="0" t="n">
        <f aca="false">SUMIF(Accident_Data!$C$2:$C$101,A11,Accident_Data!$J$2:$J$101)</f>
        <v>23</v>
      </c>
    </row>
    <row r="12" customFormat="false" ht="15" hidden="false" customHeight="false" outlineLevel="0" collapsed="false">
      <c r="A12" s="0" t="s">
        <v>64</v>
      </c>
      <c r="B12" s="0" t="n">
        <f aca="false">COUNTIF(Accident_Data!$C$2:$C$101,A12)</f>
        <v>13</v>
      </c>
      <c r="C12" s="0" t="n">
        <f aca="false">SUMIF(Accident_Data!$C$2:$C$101,A12,Accident_Data!$J$2:$J$101)</f>
        <v>43</v>
      </c>
    </row>
    <row r="13" customFormat="false" ht="15" hidden="false" customHeight="false" outlineLevel="0" collapsed="false">
      <c r="A13" s="0" t="s">
        <v>49</v>
      </c>
      <c r="B13" s="0" t="n">
        <f aca="false">COUNTIF(Accident_Data!$C$2:$C$101,A13)</f>
        <v>8</v>
      </c>
      <c r="C13" s="0" t="n">
        <f aca="false">SUMIF(Accident_Data!$C$2:$C$101,A13,Accident_Data!$J$2:$J$101)</f>
        <v>23</v>
      </c>
    </row>
    <row r="16" customFormat="false" ht="15" hidden="false" customHeight="false" outlineLevel="0" collapsed="false">
      <c r="A16" s="6" t="s">
        <v>154</v>
      </c>
      <c r="E16" s="6" t="s">
        <v>155</v>
      </c>
    </row>
    <row r="17" customFormat="false" ht="15" hidden="false" customHeight="false" outlineLevel="0" collapsed="false">
      <c r="A17" s="7" t="s">
        <v>8</v>
      </c>
      <c r="B17" s="7" t="s">
        <v>153</v>
      </c>
      <c r="E17" s="7" t="s">
        <v>4</v>
      </c>
      <c r="F17" s="7" t="s">
        <v>153</v>
      </c>
    </row>
    <row r="18" customFormat="false" ht="15" hidden="false" customHeight="false" outlineLevel="0" collapsed="false">
      <c r="A18" s="0" t="s">
        <v>17</v>
      </c>
      <c r="B18" s="0" t="n">
        <f aca="false">COUNTIF(Accident_Data!$I$2:$I$101,A18)</f>
        <v>16</v>
      </c>
      <c r="E18" s="0" t="s">
        <v>13</v>
      </c>
      <c r="F18" s="0" t="n">
        <f aca="false">COUNTIF(Accident_Data!$E$2:$E$101,E18)</f>
        <v>19</v>
      </c>
    </row>
    <row r="19" customFormat="false" ht="15" hidden="false" customHeight="false" outlineLevel="0" collapsed="false">
      <c r="A19" s="0" t="s">
        <v>22</v>
      </c>
      <c r="B19" s="0" t="n">
        <f aca="false">COUNTIF(Accident_Data!$I$2:$I$101,A19)</f>
        <v>15</v>
      </c>
      <c r="E19" s="0" t="s">
        <v>24</v>
      </c>
      <c r="F19" s="0" t="n">
        <f aca="false">COUNTIF(Accident_Data!$E$2:$E$101,E19)</f>
        <v>15</v>
      </c>
    </row>
    <row r="20" customFormat="false" ht="15" hidden="false" customHeight="false" outlineLevel="0" collapsed="false">
      <c r="A20" s="0" t="s">
        <v>32</v>
      </c>
      <c r="B20" s="0" t="n">
        <f aca="false">COUNTIF(Accident_Data!$I$2:$I$101,A20)</f>
        <v>15</v>
      </c>
      <c r="E20" s="0" t="s">
        <v>31</v>
      </c>
      <c r="F20" s="0" t="n">
        <f aca="false">COUNTIF(Accident_Data!$E$2:$E$101,E20)</f>
        <v>12</v>
      </c>
    </row>
    <row r="21" customFormat="false" ht="15" hidden="false" customHeight="false" outlineLevel="0" collapsed="false">
      <c r="A21" s="0" t="s">
        <v>36</v>
      </c>
      <c r="B21" s="0" t="n">
        <f aca="false">COUNTIF(Accident_Data!$I$2:$I$101,A21)</f>
        <v>14</v>
      </c>
      <c r="E21" s="0" t="s">
        <v>38</v>
      </c>
      <c r="F21" s="0" t="n">
        <f aca="false">COUNTIF(Accident_Data!$E$2:$E$101,E21)</f>
        <v>22</v>
      </c>
    </row>
    <row r="22" customFormat="false" ht="15" hidden="false" customHeight="false" outlineLevel="0" collapsed="false">
      <c r="A22" s="0" t="s">
        <v>41</v>
      </c>
      <c r="B22" s="0" t="n">
        <f aca="false">COUNTIF(Accident_Data!$I$2:$I$101,A22)</f>
        <v>20</v>
      </c>
      <c r="E22" s="0" t="s">
        <v>50</v>
      </c>
      <c r="F22" s="0" t="n">
        <f aca="false">COUNTIF(Accident_Data!$E$2:$E$101,E22)</f>
        <v>20</v>
      </c>
    </row>
    <row r="23" customFormat="false" ht="15" hidden="false" customHeight="false" outlineLevel="0" collapsed="false">
      <c r="A23" s="0" t="s">
        <v>44</v>
      </c>
      <c r="B23" s="0" t="n">
        <f aca="false">COUNTIF(Accident_Data!$I$2:$I$101,A23)</f>
        <v>20</v>
      </c>
      <c r="E23" s="0" t="s">
        <v>59</v>
      </c>
      <c r="F23" s="0" t="n">
        <f aca="false">COUNTIF(Accident_Data!$E$2:$E$101,E23)</f>
        <v>12</v>
      </c>
    </row>
    <row r="26" customFormat="false" ht="15" hidden="false" customHeight="false" outlineLevel="0" collapsed="false">
      <c r="A26" s="6" t="s">
        <v>156</v>
      </c>
    </row>
    <row r="27" customFormat="false" ht="15" hidden="false" customHeight="false" outlineLevel="0" collapsed="false">
      <c r="A27" s="8" t="s">
        <v>157</v>
      </c>
      <c r="B27" s="9" t="n">
        <f aca="false">COUNTA(Accident_Data!A2:A101)</f>
        <v>100</v>
      </c>
    </row>
    <row r="28" customFormat="false" ht="15" hidden="false" customHeight="false" outlineLevel="0" collapsed="false">
      <c r="A28" s="8" t="s">
        <v>152</v>
      </c>
      <c r="B28" s="9" t="n">
        <f aca="false">SUM(Accident_Data!J2:J101)</f>
        <v>255</v>
      </c>
    </row>
    <row r="29" customFormat="false" ht="15" hidden="false" customHeight="false" outlineLevel="0" collapsed="false">
      <c r="A29" s="8" t="s">
        <v>158</v>
      </c>
      <c r="B29" s="9" t="n">
        <f aca="false">COUNTIF(Accident_Data!H2:H101,"Fatal")</f>
        <v>24</v>
      </c>
    </row>
    <row r="30" customFormat="false" ht="15" hidden="false" customHeight="false" outlineLevel="0" collapsed="false">
      <c r="A30" s="8" t="s">
        <v>159</v>
      </c>
      <c r="B30" s="9" t="n">
        <f aca="false">ROUND(B28/B27,2)</f>
        <v>2.55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2026-06-25T12:52:36Z</dcterms:created>
  <dc:creator>openpyxl</dc:creator>
  <dc:description/>
  <dc:language>en-US</dc:language>
  <cp:lastModifiedBy/>
  <dcterms:modified xsi:type="dcterms:W3CDTF">2026-06-25T12:53:16Z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